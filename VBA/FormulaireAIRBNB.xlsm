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0E4775B2-79C0-4F5D-AF93-1E0C43ABE419}" xr6:coauthVersionLast="47" xr6:coauthVersionMax="47" xr10:uidLastSave="{00000000-0000-0000-0000-000000000000}"/>
  <bookViews>
    <workbookView xWindow="-110" yWindow="10690" windowWidth="19420" windowHeight="11020" activeTab="2" xr2:uid="{D0BD4728-227B-4C76-9119-CEA83803AF99}"/>
  </bookViews>
  <sheets>
    <sheet name="Bienvenue" sheetId="5" r:id="rId1"/>
    <sheet name="empty" sheetId="6" state="hidden" r:id="rId2"/>
    <sheet name="Donnees" sheetId="4" r:id="rId3"/>
    <sheet name="tableauFormulaire " sheetId="3" r:id="rId4"/>
    <sheet name="Estimation" sheetId="1" r:id="rId5"/>
    <sheet name="Traitemen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 a="1"/>
  <c r="B3" i="7" s="1"/>
  <c r="D3" i="7" s="1"/>
  <c r="D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<sst xmlns="http://schemas.openxmlformats.org/spreadsheetml/2006/main" count="153" uniqueCount="152">
  <si>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</si>
  <si>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</si>
  <si>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</si>
  <si>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</si>
  <si>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</si>
  <si>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</si>
  <si>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</si>
  <si>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</si>
  <si>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</si>
  <si>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</si>
  <si>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</si>
  <si>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</si>
  <si>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</si>
  <si>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</si>
  <si>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</si>
  <si>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</si>
  <si>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</si>
  <si>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</si>
  <si>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</si>
  <si>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</si>
  <si>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</si>
  <si>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</si>
  <si>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</si>
  <si>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</si>
  <si>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</si>
  <si>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</si>
  <si>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</si>
  <si>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</si>
  <si>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</si>
  <si>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</si>
  <si>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</si>
  <si>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</si>
  <si>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</si>
  <si>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</si>
  <si>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</si>
  <si>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</si>
  <si>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</si>
  <si>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</si>
  <si>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</si>
  <si>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</si>
  <si>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2ème</t>
  </si>
  <si>
    <t>1er</t>
  </si>
  <si>
    <t>3ème</t>
  </si>
  <si>
    <t>4ème</t>
  </si>
  <si>
    <t>5ème</t>
  </si>
  <si>
    <t>6ème</t>
  </si>
  <si>
    <t>7ème</t>
  </si>
  <si>
    <t>8ème</t>
  </si>
  <si>
    <t>9ème</t>
  </si>
  <si>
    <t>10ème</t>
  </si>
  <si>
    <t>11ème</t>
  </si>
  <si>
    <t>12ème</t>
  </si>
  <si>
    <t>13ème</t>
  </si>
  <si>
    <t>14ème</t>
  </si>
  <si>
    <t>15ème</t>
  </si>
  <si>
    <t>16ème</t>
  </si>
  <si>
    <t>17ème</t>
  </si>
  <si>
    <t>18ème</t>
  </si>
  <si>
    <t>19ème</t>
  </si>
  <si>
    <t>20ème</t>
  </si>
  <si>
    <t xml:space="preserve">Vous souhaitez faire de la location courte durée avec votre bien immobilier à Paris, mais vous ne savez pas comment vous y prendre ? </t>
  </si>
  <si>
    <t xml:space="preserve">Pas de panique ! </t>
  </si>
  <si>
    <r>
      <t xml:space="preserve">Cliquez sur le </t>
    </r>
    <r>
      <rPr>
        <b/>
        <sz val="14"/>
        <color theme="1"/>
        <rFont val="Tahoma"/>
        <family val="2"/>
      </rPr>
      <t>bouton juste en dessous</t>
    </r>
    <r>
      <rPr>
        <sz val="14"/>
        <color theme="1"/>
        <rFont val="Tahoma"/>
        <family val="2"/>
      </rPr>
      <t>, et on vous aide à trouver le</t>
    </r>
    <r>
      <rPr>
        <b/>
        <sz val="14"/>
        <color theme="1"/>
        <rFont val="Tahoma"/>
        <family val="2"/>
      </rPr>
      <t xml:space="preserve"> juste prix! </t>
    </r>
  </si>
  <si>
    <t>accomodates</t>
  </si>
  <si>
    <t>4</t>
  </si>
  <si>
    <t>3</t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</si>
  <si>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</si>
  <si>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</si>
  <si>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</si>
  <si>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</si>
  <si>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</si>
  <si>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</si>
  <si>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</si>
  <si>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</si>
  <si>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</si>
  <si>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</si>
  <si>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</si>
  <si>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</si>
  <si>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</si>
  <si>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</si>
  <si>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phrase</t>
  </si>
  <si>
    <t>moyenne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</si>
  <si>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</si>
  <si>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</si>
  <si>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</si>
  <si>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</si>
  <si>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</si>
  <si>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</si>
  <si>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</si>
  <si>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</si>
  <si>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</si>
  <si>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</si>
  <si>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</si>
  <si>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</si>
  <si>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</si>
  <si>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</si>
  <si>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</si>
  <si>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</si>
  <si>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</si>
  <si>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</si>
  <si>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Dishes and sliverware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</si>
  <si>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</si>
  <si>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</si>
  <si>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</si>
  <si>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</si>
  <si>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</si>
  <si>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</si>
  <si>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</si>
  <si>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</si>
  <si>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</si>
  <si>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</si>
  <si>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</si>
  <si>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</si>
  <si>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</si>
  <si>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</si>
  <si>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</si>
  <si>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</si>
  <si>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accommodates_squaret</t>
  </si>
  <si>
    <t>bed__squared</t>
  </si>
  <si>
    <t>neighbourhood_cleansed_Batignolles_Monceau</t>
  </si>
  <si>
    <t>neighbourhood_cleansed_Bourse</t>
  </si>
  <si>
    <t>Buttes-Chaumont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</si>
  <si>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</si>
  <si>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</si>
  <si>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</si>
  <si>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</si>
  <si>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</si>
  <si>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</si>
  <si>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</si>
  <si>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</si>
  <si>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</si>
  <si>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</si>
  <si>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</si>
  <si>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</si>
  <si>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</si>
  <si>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</si>
  <si>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</si>
  <si>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</si>
  <si>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neighbourhood_cleansed_Elysée</t>
  </si>
  <si>
    <t>property_type_Entire condo</t>
  </si>
  <si>
    <t>property_type_Entire unit</t>
  </si>
  <si>
    <t>property_type_Entire apartement</t>
  </si>
  <si>
    <t>property_type_Entire townhouse</t>
  </si>
  <si>
    <t>property_type_Private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</si>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</sst>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b/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8"/>
      <color rgb="FF000000"/>
      <name val="Inherit"/>
    </font>
    <font>
      <sz val="12"/>
      <color theme="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9F6E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9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/>
    <xf numFmtId="2" fontId="6" fillId="2" borderId="0" xfId="0" applyNumberFormat="1" applyFont="1" applyFill="1"/>
    <xf numFmtId="0" fontId="5" fillId="2" borderId="0" xfId="0" applyFont="1" applyFill="1"/>
    <xf numFmtId="2" fontId="7" fillId="2" borderId="0" xfId="0" applyNumberFormat="1" applyFont="1" applyFill="1"/>
    <xf numFmtId="0" fontId="9" fillId="2" borderId="0" xfId="0" applyFont="1" applyFill="1" applyAlignment="1">
      <alignment vertical="top" wrapText="1"/>
    </xf>
  </cellXfs>
  <cellStyles count="1">
    <cellStyle name="Normal" xfId="0" builtinId="0"/>
  </cellStyles>
  <dxfs count="72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761999</xdr:colOff>
      <xdr:row>3</xdr:row>
      <xdr:rowOff>679794</xdr:rowOff>
    </xdr:from>
    <xdr:to>
      <xdr:col>11</xdr:col>
      <xdr:colOff>365124</xdr:colOff>
      <xdr:row>16</xdr:row>
      <xdr:rowOff>140782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7800974" y="1251294"/>
          <a:ext cx="3413125" cy="2737588"/>
        </a:xfrm>
        <a:prstGeom prst="rect">
          <a:avLst/>
        </a:prstGeom>
      </xdr:spPr>
    </xdr:pic>
    <xdr:clientData/>
  </xdr:twoCellAnchor>
  <xdr:twoCellAnchor>
    <xdr:from>
      <xdr:col>1</xdr:col>
      <xdr:colOff>450850</xdr:colOff>
      <xdr:row>10</xdr:row>
      <xdr:rowOff>172335</xdr:rowOff>
    </xdr:from>
    <xdr:to>
      <xdr:col>5</xdr:col>
      <xdr:colOff>242232</xdr:colOff>
      <xdr:row>16</xdr:row>
      <xdr:rowOff>180043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50950" y="2794885"/>
          <a:ext cx="5569882" cy="111260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Estimer</a:t>
          </a:r>
          <a:r>
            <a:rPr lang="fr-FR" sz="20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le prix d'une nuit dans mon bien à Paris, sur AirBNB</a:t>
          </a:r>
          <a:endParaRPr lang="fr-FR" sz="20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</xdr:col>
      <xdr:colOff>4305299</xdr:colOff>
      <xdr:row>8</xdr:row>
      <xdr:rowOff>52457</xdr:rowOff>
    </xdr:from>
    <xdr:to>
      <xdr:col>5</xdr:col>
      <xdr:colOff>377488</xdr:colOff>
      <xdr:row>10</xdr:row>
      <xdr:rowOff>111125</xdr:rowOff>
    </xdr:to>
    <xdr:pic>
      <xdr:nvPicPr>
        <xdr:cNvPr id="6" name="Image 5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6235699" y="2046357"/>
          <a:ext cx="720389" cy="687318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</xdr:colOff>
      <xdr:row>8</xdr:row>
      <xdr:rowOff>23882</xdr:rowOff>
    </xdr:from>
    <xdr:to>
      <xdr:col>3</xdr:col>
      <xdr:colOff>34923</xdr:colOff>
      <xdr:row>10</xdr:row>
      <xdr:rowOff>112057</xdr:rowOff>
    </xdr:to>
    <xdr:pic>
      <xdr:nvPicPr>
        <xdr:cNvPr id="7" name="Image 6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2347982"/>
          <a:ext cx="714373" cy="729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624957</xdr:colOff>
      <xdr:row>5</xdr:row>
      <xdr:rowOff>44284</xdr:rowOff>
    </xdr:from>
    <xdr:to>
      <xdr:col>13</xdr:col>
      <xdr:colOff>704850</xdr:colOff>
      <xdr:row>10</xdr:row>
      <xdr:rowOff>66674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797407" y="1060284"/>
          <a:ext cx="1565793" cy="103839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154763</xdr:colOff>
      <xdr:row>3</xdr:row>
      <xdr:rowOff>198975</xdr:rowOff>
    </xdr:from>
    <xdr:to>
      <xdr:col>10</xdr:col>
      <xdr:colOff>663355</xdr:colOff>
      <xdr:row>14</xdr:row>
      <xdr:rowOff>128326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72071" y="1099140"/>
          <a:ext cx="2916009" cy="2155340"/>
        </a:xfrm>
        <a:prstGeom prst="roundRect">
          <a:avLst>
            <a:gd name="adj" fmla="val 10122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127000</xdr:colOff>
      <xdr:row>1</xdr:row>
      <xdr:rowOff>419100</xdr:rowOff>
    </xdr:from>
    <xdr:to>
      <xdr:col>3</xdr:col>
      <xdr:colOff>565150</xdr:colOff>
      <xdr:row>7</xdr:row>
      <xdr:rowOff>44450</xdr:rowOff>
    </xdr:to>
    <xdr:sp macro="" textlink="Traitement!D2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27100" y="622300"/>
          <a:ext cx="2038350" cy="1136650"/>
        </a:xfrm>
        <a:prstGeom prst="roundRect">
          <a:avLst>
            <a:gd name="adj" fmla="val 17784"/>
          </a:avLst>
        </a:prstGeom>
        <a:solidFill>
          <a:srgbClr val="F1EABD"/>
        </a:solidFill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0843FC57-6DFC-4991-9759-AD19B6F7A10D}" type="TxLink"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Le prix que nous vous recommandons est 101010 $</a:t>
          </a:fld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55823</xdr:colOff>
      <xdr:row>1</xdr:row>
      <xdr:rowOff>238508</xdr:rowOff>
    </xdr:from>
    <xdr:to>
      <xdr:col>10</xdr:col>
      <xdr:colOff>739671</xdr:colOff>
      <xdr:row>15</xdr:row>
      <xdr:rowOff>13957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673131" y="440871"/>
          <a:ext cx="3091265" cy="2901602"/>
        </a:xfrm>
        <a:prstGeom prst="roundRect">
          <a:avLst>
            <a:gd name="adj" fmla="val 7443"/>
          </a:avLst>
        </a:prstGeom>
        <a:noFill/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La concurrence est rude dans certains quartiers …</a:t>
          </a:r>
        </a:p>
      </xdr:txBody>
    </xdr:sp>
    <xdr:clientData/>
  </xdr:twoCellAnchor>
  <xdr:twoCellAnchor>
    <xdr:from>
      <xdr:col>1</xdr:col>
      <xdr:colOff>64999</xdr:colOff>
      <xdr:row>8</xdr:row>
      <xdr:rowOff>77387</xdr:rowOff>
    </xdr:from>
    <xdr:to>
      <xdr:col>3</xdr:col>
      <xdr:colOff>655934</xdr:colOff>
      <xdr:row>13</xdr:row>
      <xdr:rowOff>201351</xdr:rowOff>
    </xdr:to>
    <xdr:sp macro="" textlink="Traitement!D3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825603" y="1989365"/>
          <a:ext cx="2112144" cy="1135777"/>
        </a:xfrm>
        <a:prstGeom prst="roundRect">
          <a:avLst>
            <a:gd name="adj" fmla="val 17784"/>
          </a:avLst>
        </a:prstGeom>
        <a:solidFill>
          <a:srgbClr val="F1EABD"/>
        </a:solidFill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26DB410-C1F5-41E9-84B9-ED514DFAEEE4}" type="TxLink"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Le prix moyen dans le 0 arrondissement est 100 $</a:t>
          </a:fld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A1:BS2" totalsRowShown="0" dataDxfId="71">
  <autoFilter ref="A1:BS2" xr:uid="{2DEB0365-E448-4934-A8E7-ECB335C5AF85}"/>
  <tableColumns count="71">
    <tableColumn id="1" xr3:uid="{684A906C-671F-41CF-B0DF-92B8C10FE190}" name="accomodates" dataDxfId="70"/>
    <tableColumn id="8" xr3:uid="{090347DD-0940-4B3C-A7A9-33A5968C3D35}" name="bathrooms" dataDxfId="69"/>
    <tableColumn id="2" xr3:uid="{809363AA-E47E-4735-AF91-F5380B70F83E}" name="beds" dataDxfId="68"/>
    <tableColumn id="9" xr3:uid="{E7110CB5-2366-4B39-AA2A-8E23B78D0E99}" name="Dishwasher" dataDxfId="67"/>
    <tableColumn id="3" xr3:uid="{9FA9C220-E8D2-40A4-8053-C0F1E1A5FEED}" name="Coffee" dataDxfId="66"/>
    <tableColumn id="4" xr3:uid="{F614A784-A533-4D58-8A8A-8204919CA520}" name="Coffee maker" dataDxfId="65"/>
    <tableColumn id="5" xr3:uid="{BB5750F6-322A-4D8C-BE09-9D238ADCB176}" name="Bed linens" dataDxfId="64"/>
    <tableColumn id="6" xr3:uid="{4C0A715A-359F-417B-BA75-ED062CC80892}" name="Hot water kettle" dataDxfId="63"/>
    <tableColumn id="7" xr3:uid="{1400E511-BE93-489F-88DB-86696D869C18}" name="Crib" dataDxfId="62"/>
    <tableColumn id="10" xr3:uid="{53287ED5-0D25-4250-9BE9-EF982484F8AC}" name="Wine glasses" dataDxfId="61"/>
    <tableColumn id="11" xr3:uid="{712633DF-A6A4-4836-AF73-F9BAFE351492}" name="Toaster" dataDxfId="60"/>
    <tableColumn id="12" xr3:uid="{5F1FEA49-3F3D-48C6-8AE4-075714BC2C2B}" name="Freezer" dataDxfId="59"/>
    <tableColumn id="13" xr3:uid="{2E7DA36F-1E51-4E08-9792-9915E94F0A2E}" name="Refrigerator" dataDxfId="58"/>
    <tableColumn id="14" xr3:uid="{FFFBEDAD-1417-4D52-BAF1-3987477415AC}" name="Air conditioning" dataDxfId="57"/>
    <tableColumn id="15" xr3:uid="{DEBCB502-4A69-4710-B706-9E2E9ED149C4}" name="TV" dataDxfId="56"/>
    <tableColumn id="16" xr3:uid="{CBAF676E-82E9-4DED-9B8A-7A395B1FA8B7}" name="Dining table" dataDxfId="55"/>
    <tableColumn id="17" xr3:uid="{96809AC5-6A65-4177-B8B8-84CB6119D535}" name="Oven" dataDxfId="54"/>
    <tableColumn id="18" xr3:uid="{66CFD132-D332-43A2-BF0C-AFE8ECBEA31D}" name="Cleaning products" dataDxfId="53"/>
    <tableColumn id="19" xr3:uid="{63C436FC-A490-4E3A-8AF9-69DC52410A78}" name="Microwave" dataDxfId="52"/>
    <tableColumn id="21" xr3:uid="{D61A8FC0-DE06-4BE9-AFCE-BAA89EDFD6D4}" name="Dishes and sliverware" dataDxfId="51"/>
    <tableColumn id="22" xr3:uid="{DFD3A327-56AA-4566-B460-545AE2085F44}" name="Cooking basics" dataDxfId="50"/>
    <tableColumn id="23" xr3:uid="{8A4D1230-B993-4EA9-9020-0A73A6FD041E}" name="Self check-in" dataDxfId="49"/>
    <tableColumn id="24" xr3:uid="{EDE5EB89-E5CE-4725-8A14-19501B48F477}" name="Dedicated workspace" dataDxfId="48"/>
    <tableColumn id="25" xr3:uid="{337BDFEB-6D7F-4894-99B0-AFB8BF5AD589}" name="Hair dryer" dataDxfId="47"/>
    <tableColumn id="26" xr3:uid="{F10ED563-419A-477A-93D4-511FAAF9A97E}" name="Clothing storage" dataDxfId="46"/>
    <tableColumn id="27" xr3:uid="{46EC37D9-14F8-4EC3-A480-BDCCED5DAB04}" name="Baking sheet" dataDxfId="45"/>
    <tableColumn id="28" xr3:uid="{D76E05EE-055F-453E-9F8A-C8A01CBB5C82}" name="Shower gel" dataDxfId="44"/>
    <tableColumn id="29" xr3:uid="{C0E0EA11-BBE8-4B00-9F12-F634E14DDE8E}" name="Dryer" dataDxfId="43"/>
    <tableColumn id="30" xr3:uid="{99E88F38-DC08-4488-A380-A12A7157E2FF}" name="Iron" dataDxfId="42"/>
    <tableColumn id="31" xr3:uid="{468F4A40-E403-4438-9A69-6DCEF95C799B}" name="Bathtub" dataDxfId="41"/>
    <tableColumn id="32" xr3:uid="{3E50C910-973B-46BD-9367-0935F6967B1E}" name="Fire extinguisher" dataDxfId="40"/>
    <tableColumn id="33" xr3:uid="{0F6E2B0E-3214-4A25-B701-E186DED8669F}" name="Free washer" dataDxfId="39"/>
    <tableColumn id="34" xr3:uid="{700687BB-B926-4318-B9B8-1D715B9F8BAF}" name="Carbon monoxide alarm" dataDxfId="38"/>
    <tableColumn id="35" xr3:uid="{6F79B386-4C2B-4BC2-B54F-B8FE4A4C42BA}" name="Building staff" dataDxfId="37"/>
    <tableColumn id="36" xr3:uid="{76095C12-1C37-47EF-815A-F1638F37FDF6}" name="Books and reading material" dataDxfId="36"/>
    <tableColumn id="37" xr3:uid="{F197EEEB-609C-429E-8A15-4B8D7C6020EA}" name="closet" dataDxfId="35"/>
    <tableColumn id="38" xr3:uid="{B65FB4A3-20BC-4278-818F-828357D33835}" name="accommodates_squaret" dataDxfId="34"/>
    <tableColumn id="39" xr3:uid="{DC1AD785-6138-4546-B7C1-C9B771D27304}" name="bed__squared" dataDxfId="33"/>
    <tableColumn id="40" xr3:uid="{28AB5B42-0353-4475-BE1C-C9B88DA998A8}" name="neighbourhood_cleansed_Batignolles_Monceau" dataDxfId="32"/>
    <tableColumn id="41" xr3:uid="{9511FF1F-4260-483E-B0F2-A4872D38E019}" name="neighbourhood_cleansed_Bourse" dataDxfId="31"/>
    <tableColumn id="42" xr3:uid="{5EE6E333-224A-49FF-AE5D-3DAAC45FF3D3}" name="Buttes-Chaumont" dataDxfId="30"/>
    <tableColumn id="43" xr3:uid="{4C243AF9-BE32-43C6-928E-EAFFFD508569}" name="neighbourhood_cleansed_Buttes-Montmartre" dataDxfId="29"/>
    <tableColumn id="44" xr3:uid="{13444BCD-1F00-4162-B339-CD3A7C49FAD4}" name="neighbourhood_cleansed_Entrepôt" dataDxfId="28"/>
    <tableColumn id="45" xr3:uid="{3E8E42A1-2BC9-462E-A994-065E970B739B}" name="neighbourhood_cleansed_Gobelins" dataDxfId="27"/>
    <tableColumn id="46" xr3:uid="{7B249CA4-7CCA-4CAF-8E8D-D4850CCBCD8C}" name="neighbourhood_cleansed_Hôtel-de-Ville" dataDxfId="26"/>
    <tableColumn id="47" xr3:uid="{A04B0801-74A5-454B-9E71-4042B7325C81}" name="neighbourhood_cleansed_Louvre" dataDxfId="25"/>
    <tableColumn id="48" xr3:uid="{34F3390D-4FF8-4448-822D-4C6A30BC56D6}" name="neighbourhood_cleansed_Luxembourg" dataDxfId="24"/>
    <tableColumn id="49" xr3:uid="{F000BEC8-6976-4C0D-A1D8-5FF22F9D7757}" name="neighbourhood_cleansed_Ménilmontant" dataDxfId="23"/>
    <tableColumn id="50" xr3:uid="{34B4D596-7248-4A13-895B-ABD6B30DFDE5}" name="neighbourhood_cleansed_Observatoire" dataDxfId="22"/>
    <tableColumn id="51" xr3:uid="{1C8F6A85-42B5-49BD-9C93-BD2E7896430B}" name="neighbourhood_cleansed_Opéra" dataDxfId="21"/>
    <tableColumn id="52" xr3:uid="{2C009553-8E69-4383-A3C9-BFC6407B072E}" name="neighbourhood_cleansed_Palais-Bourbon" dataDxfId="20"/>
    <tableColumn id="53" xr3:uid="{0712F701-3FBA-4D89-BC20-A4C90B7243BC}" name="neighbourhood_cleansed_Panthéon" dataDxfId="19"/>
    <tableColumn id="54" xr3:uid="{BF48E10C-57DA-4114-98B7-4295B2B179ED}" name="neighbourhood_cleansed_Passy" dataDxfId="18"/>
    <tableColumn id="55" xr3:uid="{24F1D10F-D2C5-49E3-8BE5-6B6F4E231EC8}" name="neighbourhood_cleansed_Popincourt" dataDxfId="17"/>
    <tableColumn id="56" xr3:uid="{313441FB-22D0-4623-8348-1B5E0991F092}" name="neighbourhood_cleansed_Reuilly" dataDxfId="16"/>
    <tableColumn id="57" xr3:uid="{07E3F9BA-1C8C-4315-A0C0-0A6FADF47404}" name="neighbourhood_cleansed_Temple" dataDxfId="15"/>
    <tableColumn id="58" xr3:uid="{4657BA8C-C75A-4812-9B98-A7185DFABE27}" name="neighbourhood_cleansed_Vaugirard" dataDxfId="14"/>
    <tableColumn id="59" xr3:uid="{2DDAC467-37A4-42D9-AB2E-8960B4AA8FDF}" name="neighbourhood_cleansed_Elysée" dataDxfId="13"/>
    <tableColumn id="60" xr3:uid="{1E2709DB-E0F3-4F13-B52E-E727F1DB78F0}" name="property_type_Entire condo" dataDxfId="12"/>
    <tableColumn id="61" xr3:uid="{C5B48FD5-C531-40CB-800B-AA50EEE09889}" name="property_type_Entire unit" dataDxfId="11"/>
    <tableColumn id="62" xr3:uid="{8E75A02C-7A83-47F3-96DE-6949B8F8F2C9}" name="property_type_Entire apartement" dataDxfId="10"/>
    <tableColumn id="63" xr3:uid="{A9D18C72-723B-44BE-AF5D-D92FC2E1D879}" name="property_type_Entire townhouse" dataDxfId="9"/>
    <tableColumn id="64" xr3:uid="{0EAE1481-058A-4E4E-B2FD-001DF0FFC7C4}" name="property_type_Private townhouse" dataDxfId="8"/>
    <tableColumn id="65" xr3:uid="{06BFE305-9438-41BE-9888-A434D067DDEA}" name="property_type_Private room in guesthouse" dataDxfId="7"/>
    <tableColumn id="66" xr3:uid="{61F6129E-A9AF-4DAC-BFFF-D03D78B4443B}" name="property_type_Private room in hostel" dataDxfId="6"/>
    <tableColumn id="67" xr3:uid="{557EF928-1FE3-4772-917F-E88D816E5253}" name="property_type_Private room in loft" dataDxfId="5"/>
    <tableColumn id="68" xr3:uid="{0F415C48-FAB2-4439-8CB5-9214DD4C344D}" name="property_type_Private room in rental unit" dataDxfId="4"/>
    <tableColumn id="69" xr3:uid="{A2ED5ECD-6608-4A81-9520-A0CD2586C2A9}" name="property_type_Room in boutique hotel " dataDxfId="3"/>
    <tableColumn id="70" xr3:uid="{8F91DFE5-BFA9-4187-B5FC-77C3AAB07A88}" name="property_type_Room in hotel " dataDxfId="2"/>
    <tableColumn id="71" xr3:uid="{776F633B-6CEB-4371-8F39-9221A2162ACE}" name="property_type_Hotel room" dataDxfId="1"/>
    <tableColumn id="72" xr3:uid="{8D0292DB-0F62-4737-A03F-45B83E4114E9}" name="property_type_Private room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G21" totalsRowShown="0">
  <autoFilter ref="G1:G21" xr:uid="{7ECB73AA-3570-4780-BB9D-5476EF626FB4}"/>
  <tableColumns count="1">
    <tableColumn id="1" xr3:uid="{C6E353E7-B057-4A89-B40D-E1F43016DA1C}" name="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zoomScaleNormal="100" workbookViewId="0">
      <selection activeCell="M15" sqref="M15"/>
    </sheetView>
  </sheetViews>
  <sheetFormatPr baseColWidth="10" defaultColWidth="11.453125" defaultRowHeight="14.5"/>
  <cols>
    <col min="1" max="2" width="11.453125" style="3"/>
    <col min="3" max="3" width="4.7265625" style="3" customWidth="1"/>
    <col min="4" max="4" width="61.81640625" style="3" customWidth="1"/>
    <col min="5" max="5" width="4.7265625" style="3" customWidth="1"/>
    <col min="6" max="16384" width="11.453125" style="3"/>
  </cols>
  <sheetData>
    <row r="5" spans="4:4" ht="52.5">
      <c r="D5" s="2" t="s">
        <v>60</v>
      </c>
    </row>
    <row r="7" spans="4:4" ht="17.5">
      <c r="D7" s="4" t="s">
        <v>61</v>
      </c>
    </row>
    <row r="9" spans="4:4" ht="35">
      <c r="D9" s="5" t="s">
        <v>62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"/>
  <sheetViews>
    <sheetView workbookViewId="0">
      <selection activeCell="D26" sqref="D26"/>
    </sheetView>
  </sheetViews>
  <sheetFormatPr baseColWidth="10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S2"/>
  <sheetViews>
    <sheetView tabSelected="1" topLeftCell="BI1" workbookViewId="0">
      <selection activeCell="BR1" sqref="BR1"/>
    </sheetView>
  </sheetViews>
  <sheetFormatPr baseColWidth="10" defaultRowHeight="14.5"/>
  <cols>
    <col min="1" max="11" width="15.26953125" customWidth="1"/>
  </cols>
  <sheetData>
    <row r="1" spans="1:71">
      <c r="A1" t="s">
        <v>63</v>
      </c>
      <c r="B1" t="s">
        <v>82</v>
      </c>
      <c r="C1" t="s">
        <v>83</v>
      </c>
      <c r="D1" t="s">
        <v>84</v>
      </c>
      <c r="E1" t="s">
        <v>86</v>
      </c>
      <c r="F1" t="s">
        <v>85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97</v>
      </c>
      <c r="R1" t="s">
        <v>98</v>
      </c>
      <c r="S1" t="s">
        <v>99</v>
      </c>
      <c r="T1" t="s">
        <v>100</v>
      </c>
      <c r="U1" t="s">
        <v>101</v>
      </c>
      <c r="V1" t="s">
        <v>102</v>
      </c>
      <c r="W1" t="s">
        <v>103</v>
      </c>
      <c r="X1" t="s">
        <v>104</v>
      </c>
      <c r="Y1" s="1" t="s">
        <v>105</v>
      </c>
      <c r="Z1" s="1" t="s">
        <v>106</v>
      </c>
      <c r="AA1" s="1" t="s">
        <v>107</v>
      </c>
      <c r="AB1" t="s">
        <v>108</v>
      </c>
      <c r="AC1" t="s">
        <v>109</v>
      </c>
      <c r="AD1" t="s">
        <v>110</v>
      </c>
      <c r="AE1" t="s">
        <v>111</v>
      </c>
      <c r="AF1" t="s">
        <v>112</v>
      </c>
      <c r="AG1" t="s">
        <v>113</v>
      </c>
      <c r="AH1" t="s">
        <v>114</v>
      </c>
      <c r="AI1" t="s">
        <v>115</v>
      </c>
      <c r="AJ1" t="s">
        <v>116</v>
      </c>
      <c r="AK1" t="s">
        <v>117</v>
      </c>
      <c r="AL1" t="s">
        <v>118</v>
      </c>
      <c r="AM1" t="s">
        <v>119</v>
      </c>
      <c r="AN1" t="s">
        <v>120</v>
      </c>
      <c r="AO1" t="s">
        <v>121</v>
      </c>
      <c r="AP1" t="s">
        <v>122</v>
      </c>
      <c r="AQ1" t="s">
        <v>123</v>
      </c>
      <c r="AR1" t="s">
        <v>124</v>
      </c>
      <c r="AS1" t="s">
        <v>125</v>
      </c>
      <c r="AT1" t="s">
        <v>126</v>
      </c>
      <c r="AU1" t="s">
        <v>127</v>
      </c>
      <c r="AV1" t="s">
        <v>128</v>
      </c>
      <c r="AW1" t="s">
        <v>129</v>
      </c>
      <c r="AX1" t="s">
        <v>130</v>
      </c>
      <c r="AY1" t="s">
        <v>131</v>
      </c>
      <c r="AZ1" t="s">
        <v>132</v>
      </c>
      <c r="BA1" t="s">
        <v>133</v>
      </c>
      <c r="BB1" t="s">
        <v>134</v>
      </c>
      <c r="BC1" t="s">
        <v>135</v>
      </c>
      <c r="BD1" t="s">
        <v>137</v>
      </c>
      <c r="BE1" t="s">
        <v>136</v>
      </c>
      <c r="BF1" t="s">
        <v>138</v>
      </c>
      <c r="BG1" t="s">
        <v>139</v>
      </c>
      <c r="BH1" t="s">
        <v>140</v>
      </c>
      <c r="BI1" t="s">
        <v>141</v>
      </c>
      <c r="BJ1" t="s">
        <v>142</v>
      </c>
      <c r="BK1" t="s">
        <v>143</v>
      </c>
      <c r="BL1" t="s">
        <v>144</v>
      </c>
      <c r="BM1" t="s">
        <v>145</v>
      </c>
      <c r="BN1" t="s">
        <v>146</v>
      </c>
      <c r="BO1" t="s">
        <v>147</v>
      </c>
      <c r="BP1" t="s">
        <v>148</v>
      </c>
      <c r="BQ1" t="s">
        <v>149</v>
      </c>
      <c r="BR1" t="s">
        <v>150</v>
      </c>
      <c r="BS1" t="s">
        <v>151</v>
      </c>
    </row>
    <row r="2" spans="1:71">
      <c r="A2" s="1"/>
      <c r="B2" s="1"/>
      <c r="C2" s="1"/>
      <c r="D2" s="1"/>
      <c r="E2" s="1" t="b">
        <v>1</v>
      </c>
      <c r="F2" s="1" t="b">
        <v>1</v>
      </c>
      <c r="G2" s="1" t="b">
        <v>1</v>
      </c>
      <c r="H2" s="1" t="s">
        <v>65</v>
      </c>
      <c r="I2" s="1" t="s">
        <v>64</v>
      </c>
      <c r="J2" s="1" t="s">
        <v>0</v>
      </c>
      <c r="K2" s="1" t="b">
        <v>1</v>
      </c>
      <c r="L2" s="1" t="b">
        <v>1</v>
      </c>
      <c r="M2" s="1" t="b">
        <v>1</v>
      </c>
      <c r="N2" s="1" t="b">
        <v>1</v>
      </c>
      <c r="O2" s="1" t="b">
        <v>1</v>
      </c>
      <c r="P2" s="1" t="b">
        <v>1</v>
      </c>
      <c r="Q2" s="1" t="b">
        <v>1</v>
      </c>
      <c r="R2" s="1" t="b">
        <v>1</v>
      </c>
      <c r="S2" s="1" t="b">
        <v>1</v>
      </c>
      <c r="T2" s="1" t="b">
        <v>0</v>
      </c>
      <c r="U2" s="1" t="b">
        <v>1</v>
      </c>
      <c r="V2" s="1" t="b">
        <v>1</v>
      </c>
      <c r="W2" s="1" t="b">
        <v>1</v>
      </c>
      <c r="X2" s="1" t="b">
        <v>1</v>
      </c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K26"/>
  <sheetViews>
    <sheetView zoomScale="68" zoomScaleNormal="145" workbookViewId="0">
      <selection activeCell="M15" sqref="M15"/>
    </sheetView>
  </sheetViews>
  <sheetFormatPr baseColWidth="10" defaultRowHeight="14.5"/>
  <cols>
    <col min="1" max="1" width="22.453125" customWidth="1"/>
    <col min="2" max="2" width="19.26953125" customWidth="1"/>
    <col min="3" max="3" width="20.453125" customWidth="1"/>
    <col min="4" max="4" width="22.453125" customWidth="1"/>
    <col min="5" max="5" width="41" customWidth="1"/>
    <col min="7" max="7" width="21.54296875" customWidth="1"/>
    <col min="9" max="9" width="1.54296875" customWidth="1"/>
    <col min="10" max="10" width="10.81640625" hidden="1" customWidth="1"/>
    <col min="11" max="11" width="54.1796875" customWidth="1"/>
  </cols>
  <sheetData>
    <row r="1" spans="1:11">
      <c r="A1" t="s">
        <v>7</v>
      </c>
      <c r="B1" t="s">
        <v>6</v>
      </c>
      <c r="C1" t="s">
        <v>14</v>
      </c>
      <c r="D1" t="s">
        <v>8</v>
      </c>
      <c r="E1" t="s">
        <v>66</v>
      </c>
      <c r="G1" t="s">
        <v>39</v>
      </c>
    </row>
    <row r="2" spans="1:11">
      <c r="A2">
        <v>0</v>
      </c>
      <c r="B2" t="s">
        <v>3</v>
      </c>
      <c r="C2" t="s">
        <v>26</v>
      </c>
      <c r="D2" t="s">
        <v>9</v>
      </c>
      <c r="E2" t="s">
        <v>67</v>
      </c>
      <c r="G2" t="s">
        <v>41</v>
      </c>
    </row>
    <row r="3" spans="1:11">
      <c r="A3">
        <v>1</v>
      </c>
      <c r="B3" t="s">
        <v>4</v>
      </c>
      <c r="C3" t="s">
        <v>2</v>
      </c>
      <c r="D3" t="s">
        <v>10</v>
      </c>
      <c r="E3" t="s">
        <v>68</v>
      </c>
      <c r="G3" t="s">
        <v>40</v>
      </c>
    </row>
    <row r="4" spans="1:11">
      <c r="A4">
        <v>2</v>
      </c>
      <c r="B4" t="s">
        <v>0</v>
      </c>
      <c r="C4" t="s">
        <v>27</v>
      </c>
      <c r="D4" t="s">
        <v>11</v>
      </c>
      <c r="E4" t="s">
        <v>69</v>
      </c>
      <c r="G4" t="s">
        <v>42</v>
      </c>
    </row>
    <row r="5" spans="1:11">
      <c r="A5">
        <v>3</v>
      </c>
      <c r="B5" t="s">
        <v>5</v>
      </c>
      <c r="C5" t="s">
        <v>28</v>
      </c>
      <c r="D5" t="s">
        <v>12</v>
      </c>
      <c r="E5" t="s">
        <v>70</v>
      </c>
      <c r="G5" t="s">
        <v>43</v>
      </c>
    </row>
    <row r="6" spans="1:11">
      <c r="A6">
        <v>4</v>
      </c>
      <c r="B6" t="s">
        <v>38</v>
      </c>
      <c r="C6" t="s">
        <v>29</v>
      </c>
      <c r="D6" t="s">
        <v>13</v>
      </c>
      <c r="E6" t="s">
        <v>71</v>
      </c>
      <c r="G6" t="s">
        <v>44</v>
      </c>
      <c r="K6" s="6"/>
    </row>
    <row r="7" spans="1:11">
      <c r="A7">
        <v>5</v>
      </c>
      <c r="C7" t="s">
        <v>15</v>
      </c>
      <c r="E7" t="s">
        <v>72</v>
      </c>
      <c r="G7" t="s">
        <v>45</v>
      </c>
    </row>
    <row r="8" spans="1:11">
      <c r="A8">
        <v>6</v>
      </c>
      <c r="C8" t="s">
        <v>30</v>
      </c>
      <c r="E8" t="s">
        <v>73</v>
      </c>
      <c r="G8" t="s">
        <v>46</v>
      </c>
    </row>
    <row r="9" spans="1:11">
      <c r="A9">
        <v>7</v>
      </c>
      <c r="C9" t="s">
        <v>31</v>
      </c>
      <c r="E9" t="s">
        <v>74</v>
      </c>
      <c r="G9" t="s">
        <v>47</v>
      </c>
    </row>
    <row r="10" spans="1:11">
      <c r="A10">
        <v>8</v>
      </c>
      <c r="C10" t="s">
        <v>19</v>
      </c>
      <c r="E10" t="s">
        <v>78</v>
      </c>
      <c r="G10" t="s">
        <v>48</v>
      </c>
    </row>
    <row r="11" spans="1:11">
      <c r="A11">
        <v>9</v>
      </c>
      <c r="C11" t="s">
        <v>20</v>
      </c>
      <c r="E11" t="s">
        <v>75</v>
      </c>
      <c r="G11" t="s">
        <v>49</v>
      </c>
    </row>
    <row r="12" spans="1:11">
      <c r="A12">
        <v>10</v>
      </c>
      <c r="C12" t="s">
        <v>32</v>
      </c>
      <c r="E12" t="s">
        <v>76</v>
      </c>
      <c r="G12" t="s">
        <v>50</v>
      </c>
    </row>
    <row r="13" spans="1:11">
      <c r="C13" t="s">
        <v>17</v>
      </c>
      <c r="E13" t="s">
        <v>77</v>
      </c>
      <c r="G13" t="s">
        <v>51</v>
      </c>
    </row>
    <row r="14" spans="1:11">
      <c r="C14" t="s">
        <v>33</v>
      </c>
      <c r="G14" t="s">
        <v>52</v>
      </c>
    </row>
    <row r="15" spans="1:11">
      <c r="C15" t="s">
        <v>23</v>
      </c>
      <c r="G15" t="s">
        <v>53</v>
      </c>
    </row>
    <row r="16" spans="1:11">
      <c r="C16" t="s">
        <v>34</v>
      </c>
      <c r="G16" t="s">
        <v>54</v>
      </c>
    </row>
    <row r="17" spans="3:7">
      <c r="C17" t="s">
        <v>24</v>
      </c>
      <c r="G17" t="s">
        <v>55</v>
      </c>
    </row>
    <row r="18" spans="3:7">
      <c r="C18" t="s">
        <v>16</v>
      </c>
      <c r="G18" t="s">
        <v>56</v>
      </c>
    </row>
    <row r="19" spans="3:7">
      <c r="C19" t="s">
        <v>1</v>
      </c>
      <c r="G19" t="s">
        <v>57</v>
      </c>
    </row>
    <row r="20" spans="3:7">
      <c r="C20" t="s">
        <v>35</v>
      </c>
      <c r="G20" t="s">
        <v>58</v>
      </c>
    </row>
    <row r="21" spans="3:7">
      <c r="C21" t="s">
        <v>36</v>
      </c>
      <c r="G21" t="s">
        <v>59</v>
      </c>
    </row>
    <row r="22" spans="3:7">
      <c r="C22" t="s">
        <v>25</v>
      </c>
    </row>
    <row r="23" spans="3:7">
      <c r="C23" t="s">
        <v>21</v>
      </c>
    </row>
    <row r="24" spans="3:7">
      <c r="C24" t="s">
        <v>22</v>
      </c>
    </row>
    <row r="25" spans="3:7">
      <c r="C25" t="s">
        <v>18</v>
      </c>
    </row>
    <row r="26" spans="3:7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zoomScale="91" zoomScaleNormal="100" workbookViewId="0">
      <selection activeCell="G10" sqref="G10"/>
    </sheetView>
  </sheetViews>
  <sheetFormatPr baseColWidth="10" defaultColWidth="11.453125" defaultRowHeight="14.5"/>
  <cols>
    <col min="1" max="15" width="11.453125" style="3" customWidth="1"/>
    <col min="16" max="16384" width="11.453125" style="3"/>
  </cols>
  <sheetData>
    <row r="1" spans="2:13" ht="16" customHeight="1"/>
    <row r="2" spans="2:13" ht="39" customHeight="1">
      <c r="B2" s="16"/>
      <c r="H2" s="7"/>
    </row>
    <row r="3" spans="2:13" ht="16" customHeight="1">
      <c r="B3" s="8"/>
      <c r="C3" s="9"/>
    </row>
    <row r="4" spans="2:13" ht="16" customHeight="1"/>
    <row r="5" spans="2:13" ht="16" customHeight="1"/>
    <row r="6" spans="2:13" ht="16" customHeight="1">
      <c r="F6" s="10"/>
    </row>
    <row r="7" spans="2:13" ht="16" customHeight="1"/>
    <row r="8" spans="2:13" ht="16" customHeight="1"/>
    <row r="9" spans="2:13" ht="16" customHeight="1">
      <c r="F9" s="11"/>
    </row>
    <row r="10" spans="2:13" ht="16" customHeight="1"/>
    <row r="11" spans="2:13" ht="16" customHeight="1"/>
    <row r="12" spans="2:13" ht="16" customHeight="1"/>
    <row r="13" spans="2:13" ht="16" customHeight="1"/>
    <row r="14" spans="2:13" ht="16" customHeight="1"/>
    <row r="15" spans="2:13" ht="16" customHeight="1"/>
    <row r="16" spans="2:13" ht="16" customHeight="1">
      <c r="H16" s="12"/>
      <c r="I16" s="13"/>
      <c r="J16" s="12"/>
      <c r="K16" s="12"/>
      <c r="L16" s="14"/>
      <c r="M16" s="14"/>
    </row>
    <row r="17" spans="8:11" ht="16" customHeight="1">
      <c r="H17" s="12"/>
      <c r="I17" s="12"/>
      <c r="J17" s="12"/>
      <c r="K17" s="15"/>
    </row>
    <row r="18" spans="8:11" ht="16" customHeight="1"/>
    <row r="19" spans="8:11" ht="16" customHeight="1"/>
    <row r="20" spans="8:11" ht="16" customHeight="1"/>
    <row r="21" spans="8:11" ht="16" customHeight="1"/>
    <row r="22" spans="8:11" ht="16" customHeight="1"/>
    <row r="23" spans="8:11" ht="14.5" customHeight="1"/>
    <row r="24" spans="8:11" ht="14.5" customHeight="1"/>
    <row r="25" spans="8:11" ht="14.5" customHeight="1"/>
    <row r="26" spans="8:11" ht="14.5" customHeight="1"/>
    <row r="27" spans="8:11" ht="14.5" customHeight="1"/>
    <row r="28" spans="8:11" ht="14.5" customHeight="1"/>
    <row r="29" spans="8:11" ht="14.5" customHeight="1"/>
    <row r="30" spans="8:11" ht="14.5" customHeight="1"/>
    <row r="31" spans="8:11" ht="14.5" customHeight="1"/>
    <row r="32" spans="8:11" ht="14.5" customHeight="1"/>
    <row r="33" s="3" customFormat="1" ht="14.5" customHeight="1"/>
    <row r="34" s="3" customFormat="1" ht="14.5" customHeight="1"/>
    <row r="35" s="3" customFormat="1" ht="14.5" customHeight="1"/>
    <row r="36" s="3" customFormat="1" ht="14.5" customHeight="1"/>
    <row r="37" s="3" customFormat="1" ht="14.5" customHeight="1"/>
    <row r="38" s="3" customFormat="1" ht="14.5" customHeight="1"/>
    <row r="39" s="3" customFormat="1" ht="14.5" customHeight="1"/>
    <row r="40" s="3" customFormat="1" ht="14.5" customHeight="1"/>
    <row r="41" s="3" customFormat="1" ht="14.5" customHeight="1"/>
    <row r="42" s="3" customFormat="1" ht="14.5" customHeight="1"/>
    <row r="43" s="3" customFormat="1" ht="14.5" customHeight="1"/>
    <row r="44" s="3" customFormat="1" ht="14.5" customHeight="1"/>
    <row r="45" s="3" customFormat="1" ht="14.5" customHeight="1"/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1:D3"/>
  <sheetViews>
    <sheetView workbookViewId="0">
      <selection activeCell="B4" sqref="B4"/>
    </sheetView>
  </sheetViews>
  <sheetFormatPr baseColWidth="10" defaultRowHeight="14.5"/>
  <sheetData>
    <row r="1" spans="1:4">
      <c r="A1" t="s">
        <v>79</v>
      </c>
      <c r="B1">
        <v>101010</v>
      </c>
      <c r="D1" t="s">
        <v>80</v>
      </c>
    </row>
    <row r="2" spans="1:4">
      <c r="A2" t="s">
        <v>81</v>
      </c>
      <c r="B2">
        <v>100</v>
      </c>
      <c r="D2" t="str">
        <f>"Le prix que nous vous recommandons est " &amp;B1&amp;" $"</f>
        <v>Le prix que nous vous recommandons est 101010 $</v>
      </c>
    </row>
    <row r="3" spans="1:4">
      <c r="B3" s="1" cm="1">
        <f t="array" ref="B3">Tableau4[bathrooms]</f>
        <v>0</v>
      </c>
      <c r="D3" t="str">
        <f>"Le prix moyen dans le " &amp;B3&amp;" arrondissement est " &amp;B2&amp;  " $"</f>
        <v>Le prix moyen dans le 0 arrondissement est 100 $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Bienvenue</vt:lpstr>
      <vt:lpstr>empty</vt:lpstr>
      <vt:lpstr>Donnees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2023-12-04T20:50:23Z</dcterms:modified>
</cp:coreProperties>
</file>