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CBF6D8C4-652D-4FA3-B62D-D729AA4C3943}" xr6:coauthVersionLast="47" xr6:coauthVersionMax="47" xr10:uidLastSave="{00000000-0000-0000-0000-000000000000}"/>
  <bookViews>
    <workbookView xWindow="-110" yWindow="-110" windowWidth="19420" windowHeight="11020" xr2:uid="{D0BD4728-227B-4C76-9119-CEA83803AF99}"/>
  </bookViews>
  <sheets>
    <sheet name="Bienvenue" sheetId="5" r:id="rId1"/>
    <sheet name="empty" sheetId="6" state="hidden" r:id="rId2"/>
    <sheet name="Data" sheetId="4" state="hidden" r:id="rId3"/>
    <sheet name="DataClean" sheetId="8" state="hidden" r:id="rId4"/>
    <sheet name="tableauFormulaire " sheetId="3" state="hidden" r:id="rId5"/>
    <sheet name="Estimation" sheetId="1" state="hidden" r:id="rId6"/>
    <sheet name="Traitement" sheetId="7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E23" i="7"/>
  <c r="E25" i="7"/>
  <c r="E27" i="7"/>
  <c r="E30" i="7"/>
  <c r="E11" i="7"/>
  <c r="E29" i="7"/>
  <c r="E28" i="7"/>
  <c r="E26" i="7"/>
  <c r="E24" i="7"/>
  <c r="E22" i="7"/>
  <c r="E21" i="7"/>
  <c r="E20" i="7"/>
  <c r="E19" i="7"/>
  <c r="E18" i="7"/>
  <c r="E17" i="7"/>
  <c r="E16" i="7"/>
  <c r="E15" i="7"/>
  <c r="E14" i="7"/>
  <c r="E13" i="7"/>
  <c r="E12" i="7"/>
  <c r="U2" i="8"/>
  <c r="AT2" i="8"/>
  <c r="AS2" i="4"/>
  <c r="AR2" i="4"/>
  <c r="AP2" i="4"/>
  <c r="AP2" i="8" s="1"/>
  <c r="AO3" i="4"/>
  <c r="AF3" i="4"/>
  <c r="AH3" i="4" s="1"/>
  <c r="AE3" i="4"/>
  <c r="X2" i="4"/>
  <c r="X2" i="8" s="1"/>
  <c r="Y2" i="4"/>
  <c r="Y2" i="8" s="1"/>
  <c r="Z2" i="4"/>
  <c r="Z2" i="8" s="1"/>
  <c r="AA2" i="4"/>
  <c r="AA2" i="8" s="1"/>
  <c r="AB2" i="4"/>
  <c r="AB2" i="8" s="1"/>
  <c r="AC2" i="4"/>
  <c r="AE2" i="4" s="1"/>
  <c r="AG2" i="4" s="1"/>
  <c r="AI2" i="4" s="1"/>
  <c r="AK2" i="4" s="1"/>
  <c r="AM2" i="4" s="1"/>
  <c r="AM2" i="8" s="1"/>
  <c r="AD2" i="4"/>
  <c r="AF2" i="4" s="1"/>
  <c r="AH2" i="4" s="1"/>
  <c r="AJ2" i="4" s="1"/>
  <c r="AL2" i="4" s="1"/>
  <c r="AN2" i="4" s="1"/>
  <c r="AN2" i="8" s="1"/>
  <c r="P2" i="4"/>
  <c r="P2" i="8" s="1"/>
  <c r="Q2" i="4"/>
  <c r="Q2" i="8" s="1"/>
  <c r="R2" i="4"/>
  <c r="R2" i="8" s="1"/>
  <c r="S2" i="4"/>
  <c r="S2" i="8" s="1"/>
  <c r="T2" i="4"/>
  <c r="T2" i="8" s="1"/>
  <c r="U2" i="4"/>
  <c r="V2" i="4"/>
  <c r="V2" i="8" s="1"/>
  <c r="W2" i="4"/>
  <c r="W2" i="8" s="1"/>
  <c r="I2" i="4"/>
  <c r="I2" i="8" s="1"/>
  <c r="J2" i="4"/>
  <c r="J2" i="8" s="1"/>
  <c r="K2" i="4"/>
  <c r="K2" i="8" s="1"/>
  <c r="L2" i="4"/>
  <c r="L2" i="8" s="1"/>
  <c r="M2" i="4"/>
  <c r="M2" i="8" s="1"/>
  <c r="N2" i="4"/>
  <c r="N2" i="8" s="1"/>
  <c r="O2" i="4"/>
  <c r="O2" i="8" s="1"/>
  <c r="E2" i="4"/>
  <c r="E2" i="8" s="1"/>
  <c r="F2" i="4"/>
  <c r="F2" i="8" s="1"/>
  <c r="G2" i="4"/>
  <c r="G2" i="8" s="1"/>
  <c r="H2" i="4"/>
  <c r="H2" i="8" s="1"/>
  <c r="J6" i="7"/>
  <c r="J7" i="7"/>
  <c r="J4" i="7"/>
  <c r="I9" i="7" l="1"/>
  <c r="J9" i="7" s="1"/>
  <c r="AO2" i="4"/>
  <c r="AO2" i="8" s="1"/>
  <c r="AJ2" i="8"/>
  <c r="AH2" i="8"/>
  <c r="AF2" i="8"/>
  <c r="AL2" i="8"/>
  <c r="AD2" i="8"/>
  <c r="AE2" i="8"/>
  <c r="AC2" i="8"/>
  <c r="AK2" i="8"/>
  <c r="AI2" i="8"/>
  <c r="AG2" i="8"/>
  <c r="B5" i="4"/>
  <c r="I5" i="7" s="1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S2" i="8"/>
  <c r="AR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3" i="7" l="1"/>
  <c r="B5" i="7"/>
</calcChain>
</file>

<file path=xl/sharedStrings.xml><?xml version="1.0" encoding="utf-8"?>
<sst xmlns="http://schemas.openxmlformats.org/spreadsheetml/2006/main" count="330" uniqueCount="210">
  <si>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</si>
  <si>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</si>
  <si>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</si>
  <si>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</si>
  <si>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</si>
  <si>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</si>
  <si>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</si>
  <si>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</si>
  <si>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</si>
  <si>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</si>
  <si>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</si>
  <si>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</si>
  <si>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</si>
  <si>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</si>
  <si>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</si>
  <si>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</si>
  <si>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</si>
  <si>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</si>
  <si>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</si>
  <si>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</si>
  <si>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</si>
  <si>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</si>
  <si>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</si>
  <si>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</si>
  <si>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</si>
  <si>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</si>
  <si>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</si>
  <si>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</si>
  <si>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</si>
  <si>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</si>
  <si>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</si>
  <si>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</si>
  <si>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</si>
  <si>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</si>
  <si>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</si>
  <si>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</si>
  <si>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</si>
  <si>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</si>
  <si>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</si>
  <si>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</si>
  <si>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1er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</si>
  <si>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</si>
  <si>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</si>
  <si>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</si>
  <si>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</si>
  <si>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</si>
  <si>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</si>
  <si>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</si>
  <si>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</si>
  <si>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</si>
  <si>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</si>
  <si>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</si>
  <si>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</si>
  <si>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</si>
  <si>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</si>
  <si>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</si>
  <si>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</si>
  <si>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</si>
  <si>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</si>
  <si>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</si>
  <si>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</si>
  <si>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</si>
  <si>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</si>
  <si>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</si>
  <si>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</si>
  <si>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</si>
  <si>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</si>
  <si>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</si>
  <si>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</si>
  <si>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</si>
  <si>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</si>
  <si>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</si>
  <si>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</si>
  <si>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</si>
  <si>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</si>
  <si>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</si>
  <si>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</si>
  <si>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</si>
  <si>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</si>
  <si>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</si>
  <si>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</si>
  <si>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</si>
  <si>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</si>
  <si>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</si>
  <si>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</si>
  <si>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</si>
  <si>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</si>
  <si>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</si>
  <si>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</si>
  <si>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</si>
  <si>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</si>
  <si>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</si>
  <si>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</si>
  <si>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</si>
  <si>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</si>
  <si>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</si>
  <si>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</si>
  <si>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</si>
  <si>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</si>
  <si>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</si>
  <si>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</si>
  <si>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</si>
  <si>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</si>
  <si>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</si>
  <si>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</si>
  <si>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</si>
  <si>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</si>
  <si>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</si>
  <si>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</si>
  <si>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</si>
  <si>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</si>
  <si>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</si>
  <si>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</si>
  <si>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</si>
  <si>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</si>
  <si>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</si>
  <si>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</si>
  <si>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</si>
  <si>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</si>
  <si>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</si>
  <si>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</si>
  <si>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</si>
  <si>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</si>
  <si>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</si>
  <si>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</si>
  <si>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</si>
  <si>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</si>
  <si>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</si>
  <si>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</si>
  <si>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</si>
  <si>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</si>
  <si>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</si>
  <si>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</si>
  <si>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</si>
  <si>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</si>
  <si>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</si>
  <si>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20eme</t>
  </si>
  <si>
    <t>nombre Ameneties</t>
  </si>
  <si>
    <t>neighbourhood_name</t>
  </si>
  <si>
    <t>Gobelins</t>
  </si>
  <si>
    <t>Buttes-Chaumont</t>
  </si>
  <si>
    <t>Buttes-Montmartre</t>
  </si>
  <si>
    <t>Reuilly</t>
  </si>
  <si>
    <t>Observatoire</t>
  </si>
  <si>
    <t>Popincourt</t>
  </si>
  <si>
    <t>Batignolles-Monceau</t>
  </si>
  <si>
    <t>Vaugirard</t>
  </si>
  <si>
    <t>Temple</t>
  </si>
  <si>
    <t>Bourse</t>
  </si>
  <si>
    <t>Luxembourg</t>
  </si>
  <si>
    <t>Passy</t>
  </si>
  <si>
    <t>Louvre</t>
  </si>
  <si>
    <t>Palais-Bourbon</t>
  </si>
  <si>
    <t>average</t>
  </si>
  <si>
    <t>Ménilmontant</t>
  </si>
  <si>
    <t>Entrepôt</t>
  </si>
  <si>
    <t>Panthéon</t>
  </si>
  <si>
    <t>Opéra</t>
  </si>
  <si>
    <t>Hôtel-de-Ville</t>
  </si>
  <si>
    <t>Élysée</t>
  </si>
  <si>
    <t>Nom de l'arrondissement</t>
  </si>
  <si>
    <t>2eme</t>
  </si>
  <si>
    <t>3eme</t>
  </si>
  <si>
    <t>4eme</t>
  </si>
  <si>
    <t>5eme</t>
  </si>
  <si>
    <t>6eme</t>
  </si>
  <si>
    <t>7eme</t>
  </si>
  <si>
    <t>8eme</t>
  </si>
  <si>
    <t>9eme</t>
  </si>
  <si>
    <t>10eme</t>
  </si>
  <si>
    <t>11eme</t>
  </si>
  <si>
    <t>12eme</t>
  </si>
  <si>
    <t>13eme</t>
  </si>
  <si>
    <t>14eme</t>
  </si>
  <si>
    <t>15eme</t>
  </si>
  <si>
    <t>16eme</t>
  </si>
  <si>
    <t>17eme</t>
  </si>
  <si>
    <t>18eme</t>
  </si>
  <si>
    <t>19eme</t>
  </si>
  <si>
    <t>count Ameneties</t>
  </si>
  <si>
    <t xml:space="preserve"> </t>
  </si>
  <si>
    <t>prix moyen</t>
  </si>
  <si>
    <t>definition</t>
  </si>
  <si>
    <t>value</t>
  </si>
  <si>
    <t>tranformation</t>
  </si>
  <si>
    <t>order</t>
  </si>
  <si>
    <t>numero</t>
  </si>
  <si>
    <t>117,47</t>
  </si>
  <si>
    <t>144,34</t>
  </si>
  <si>
    <t>144,83</t>
  </si>
  <si>
    <t>146,87</t>
  </si>
  <si>
    <t>157,12</t>
  </si>
  <si>
    <t>161,11</t>
  </si>
  <si>
    <t>161,86</t>
  </si>
  <si>
    <t>176,91</t>
  </si>
  <si>
    <t>189,88</t>
  </si>
  <si>
    <t>193,56</t>
  </si>
  <si>
    <t>217,51</t>
  </si>
  <si>
    <t>225,44</t>
  </si>
  <si>
    <t>238,51</t>
  </si>
  <si>
    <t>245,51</t>
  </si>
  <si>
    <t>260,45</t>
  </si>
  <si>
    <t>303,33</t>
  </si>
  <si>
    <t>316,79</t>
  </si>
  <si>
    <t>330,21</t>
  </si>
  <si>
    <t>339,24</t>
  </si>
  <si>
    <t>397,29</t>
  </si>
  <si>
    <t>3</t>
  </si>
  <si>
    <t>2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</si>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</sst>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12"/>
      <color theme="1"/>
      <name val="Tahom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vertical="top" wrapText="1"/>
    </xf>
    <xf numFmtId="0" fontId="7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  <xf numFmtId="1" fontId="0" fillId="0" borderId="0" xfId="0" applyNumberFormat="1"/>
    <xf numFmtId="0" fontId="0" fillId="0" borderId="0" xfId="0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0" fillId="5" borderId="13" xfId="0" applyFill="1" applyBorder="1"/>
    <xf numFmtId="3" fontId="0" fillId="5" borderId="14" xfId="0" applyNumberFormat="1" applyFill="1" applyBorder="1"/>
    <xf numFmtId="2" fontId="0" fillId="5" borderId="15" xfId="0" applyNumberFormat="1" applyFill="1" applyBorder="1"/>
    <xf numFmtId="0" fontId="0" fillId="5" borderId="13" xfId="0" applyFill="1" applyBorder="1" applyAlignment="1">
      <alignment wrapText="1"/>
    </xf>
    <xf numFmtId="2" fontId="0" fillId="5" borderId="14" xfId="0" applyNumberFormat="1" applyFill="1" applyBorder="1" applyAlignment="1">
      <alignment wrapText="1"/>
    </xf>
    <xf numFmtId="2" fontId="0" fillId="5" borderId="15" xfId="0" applyNumberFormat="1" applyFill="1" applyBorder="1" applyAlignment="1">
      <alignment wrapText="1"/>
    </xf>
    <xf numFmtId="0" fontId="0" fillId="5" borderId="14" xfId="0" applyFill="1" applyBorder="1" applyAlignment="1">
      <alignment wrapText="1"/>
    </xf>
    <xf numFmtId="2" fontId="0" fillId="5" borderId="14" xfId="0" applyNumberFormat="1" applyFill="1" applyBorder="1"/>
    <xf numFmtId="0" fontId="0" fillId="5" borderId="14" xfId="0" applyFill="1" applyBorder="1"/>
    <xf numFmtId="0" fontId="0" fillId="5" borderId="15" xfId="0" applyFill="1" applyBorder="1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4" borderId="16" xfId="0" applyFill="1" applyBorder="1" applyAlignment="1">
      <alignment wrapText="1"/>
    </xf>
    <xf numFmtId="0" fontId="0" fillId="4" borderId="17" xfId="0" applyFill="1" applyBorder="1" applyAlignment="1">
      <alignment wrapText="1"/>
    </xf>
    <xf numFmtId="0" fontId="0" fillId="4" borderId="9" xfId="0" applyFill="1" applyBorder="1" applyAlignment="1">
      <alignment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70A6E8"/>
      <color rgb="FFD15842"/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4063999</xdr:colOff>
      <xdr:row>5</xdr:row>
      <xdr:rowOff>117819</xdr:rowOff>
    </xdr:from>
    <xdr:to>
      <xdr:col>8</xdr:col>
      <xdr:colOff>746124</xdr:colOff>
      <xdr:row>18</xdr:row>
      <xdr:rowOff>105857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905499" y="1108419"/>
          <a:ext cx="3413125" cy="2540738"/>
        </a:xfrm>
        <a:prstGeom prst="rect">
          <a:avLst/>
        </a:prstGeom>
      </xdr:spPr>
    </xdr:pic>
    <xdr:clientData/>
  </xdr:twoCellAnchor>
  <xdr:twoCellAnchor>
    <xdr:from>
      <xdr:col>0</xdr:col>
      <xdr:colOff>717549</xdr:colOff>
      <xdr:row>4</xdr:row>
      <xdr:rowOff>152400</xdr:rowOff>
    </xdr:from>
    <xdr:to>
      <xdr:col>3</xdr:col>
      <xdr:colOff>3403599</xdr:colOff>
      <xdr:row>21</xdr:row>
      <xdr:rowOff>6350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DB22E2B-DEE1-42C5-B06C-14330F53C412}"/>
            </a:ext>
          </a:extLst>
        </xdr:cNvPr>
        <xdr:cNvSpPr txBox="1"/>
      </xdr:nvSpPr>
      <xdr:spPr>
        <a:xfrm>
          <a:off x="717549" y="914400"/>
          <a:ext cx="4527550" cy="32067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15875</xdr:colOff>
      <xdr:row>1</xdr:row>
      <xdr:rowOff>73024</xdr:rowOff>
    </xdr:from>
    <xdr:to>
      <xdr:col>3</xdr:col>
      <xdr:colOff>911225</xdr:colOff>
      <xdr:row>4</xdr:row>
      <xdr:rowOff>73024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1A1DA4F-1B65-4703-9BD7-F83E5B50ACDC}"/>
            </a:ext>
          </a:extLst>
        </xdr:cNvPr>
        <xdr:cNvSpPr txBox="1"/>
      </xdr:nvSpPr>
      <xdr:spPr>
        <a:xfrm>
          <a:off x="777875" y="263524"/>
          <a:ext cx="19748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238125</xdr:colOff>
      <xdr:row>17</xdr:row>
      <xdr:rowOff>136525</xdr:rowOff>
    </xdr:from>
    <xdr:to>
      <xdr:col>3</xdr:col>
      <xdr:colOff>2416175</xdr:colOff>
      <xdr:row>20</xdr:row>
      <xdr:rowOff>79375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62125" y="3489325"/>
          <a:ext cx="2495550" cy="5143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720724</xdr:colOff>
      <xdr:row>16</xdr:row>
      <xdr:rowOff>48707</xdr:rowOff>
    </xdr:from>
    <xdr:to>
      <xdr:col>8</xdr:col>
      <xdr:colOff>492124</xdr:colOff>
      <xdr:row>18</xdr:row>
      <xdr:rowOff>123857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68724" y="3325307"/>
          <a:ext cx="2819400" cy="4815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246778</xdr:colOff>
      <xdr:row>0</xdr:row>
      <xdr:rowOff>104670</xdr:rowOff>
    </xdr:from>
    <xdr:to>
      <xdr:col>4</xdr:col>
      <xdr:colOff>211120</xdr:colOff>
      <xdr:row>3</xdr:row>
      <xdr:rowOff>58999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1BC7D42-D1B1-47A3-8DC2-149E3E7E8D2B}"/>
            </a:ext>
          </a:extLst>
        </xdr:cNvPr>
        <xdr:cNvSpPr/>
      </xdr:nvSpPr>
      <xdr:spPr>
        <a:xfrm>
          <a:off x="246778" y="104670"/>
          <a:ext cx="3006760" cy="589329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320361</xdr:colOff>
      <xdr:row>2</xdr:row>
      <xdr:rowOff>194793</xdr:rowOff>
    </xdr:from>
    <xdr:to>
      <xdr:col>4</xdr:col>
      <xdr:colOff>31750</xdr:colOff>
      <xdr:row>9</xdr:row>
      <xdr:rowOff>38101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29558B-FE17-41E7-B47B-FDD9A1F49C78}"/>
            </a:ext>
          </a:extLst>
        </xdr:cNvPr>
        <xdr:cNvSpPr txBox="1"/>
      </xdr:nvSpPr>
      <xdr:spPr>
        <a:xfrm>
          <a:off x="320361" y="626593"/>
          <a:ext cx="2759389" cy="1265708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  <a:endParaRPr lang="fr-FR" sz="120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9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9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fr-FR" sz="9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120617</xdr:colOff>
      <xdr:row>5</xdr:row>
      <xdr:rowOff>181844</xdr:rowOff>
    </xdr:from>
    <xdr:to>
      <xdr:col>2</xdr:col>
      <xdr:colOff>568325</xdr:colOff>
      <xdr:row>7</xdr:row>
      <xdr:rowOff>85725</xdr:rowOff>
    </xdr:to>
    <xdr:sp macro="" textlink="Traitement!J4">
      <xdr:nvSpPr>
        <xdr:cNvPr id="14" name="Rectangle : coins arrondis 13">
          <a:extLst>
            <a:ext uri="{FF2B5EF4-FFF2-40B4-BE49-F238E27FC236}">
              <a16:creationId xmlns:a16="http://schemas.microsoft.com/office/drawing/2014/main" id="{9ADA54B7-C376-474B-A0C5-B7396D90A319}"/>
            </a:ext>
          </a:extLst>
        </xdr:cNvPr>
        <xdr:cNvSpPr/>
      </xdr:nvSpPr>
      <xdr:spPr>
        <a:xfrm>
          <a:off x="882617" y="1223244"/>
          <a:ext cx="1209708" cy="3102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7D3AA169-AE11-4FA1-A653-82091037A01E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182,14$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713050</xdr:colOff>
      <xdr:row>6</xdr:row>
      <xdr:rowOff>16848</xdr:rowOff>
    </xdr:from>
    <xdr:to>
      <xdr:col>3</xdr:col>
      <xdr:colOff>546100</xdr:colOff>
      <xdr:row>9</xdr:row>
      <xdr:rowOff>48951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F10E506-DA75-4256-913B-9A955C90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050" y="1261448"/>
          <a:ext cx="595050" cy="641703"/>
        </a:xfrm>
        <a:prstGeom prst="rect">
          <a:avLst/>
        </a:prstGeom>
      </xdr:spPr>
    </xdr:pic>
    <xdr:clientData/>
  </xdr:twoCellAnchor>
  <xdr:twoCellAnchor editAs="oneCell">
    <xdr:from>
      <xdr:col>2</xdr:col>
      <xdr:colOff>279191</xdr:colOff>
      <xdr:row>7</xdr:row>
      <xdr:rowOff>80404</xdr:rowOff>
    </xdr:from>
    <xdr:to>
      <xdr:col>2</xdr:col>
      <xdr:colOff>632548</xdr:colOff>
      <xdr:row>9</xdr:row>
      <xdr:rowOff>40052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DD0899C9-526C-417A-8B76-74AA0732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3191" y="1528204"/>
          <a:ext cx="353357" cy="366048"/>
        </a:xfrm>
        <a:prstGeom prst="rect">
          <a:avLst/>
        </a:prstGeom>
      </xdr:spPr>
    </xdr:pic>
    <xdr:clientData/>
  </xdr:twoCellAnchor>
  <xdr:twoCellAnchor>
    <xdr:from>
      <xdr:col>0</xdr:col>
      <xdr:colOff>313419</xdr:colOff>
      <xdr:row>10</xdr:row>
      <xdr:rowOff>40684</xdr:rowOff>
    </xdr:from>
    <xdr:to>
      <xdr:col>4</xdr:col>
      <xdr:colOff>53975</xdr:colOff>
      <xdr:row>15</xdr:row>
      <xdr:rowOff>6350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6CDAA761-4DA2-4E1E-92E2-C519F3FD9663}"/>
            </a:ext>
          </a:extLst>
        </xdr:cNvPr>
        <xdr:cNvSpPr txBox="1"/>
      </xdr:nvSpPr>
      <xdr:spPr>
        <a:xfrm>
          <a:off x="313419" y="2098084"/>
          <a:ext cx="2788556" cy="9816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4</xdr:col>
      <xdr:colOff>260526</xdr:colOff>
      <xdr:row>3</xdr:row>
      <xdr:rowOff>21459</xdr:rowOff>
    </xdr:from>
    <xdr:to>
      <xdr:col>8</xdr:col>
      <xdr:colOff>546100</xdr:colOff>
      <xdr:row>9</xdr:row>
      <xdr:rowOff>60325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ECAB11F-652D-45E6-B0E4-17E75238EA44}"/>
            </a:ext>
          </a:extLst>
        </xdr:cNvPr>
        <xdr:cNvSpPr txBox="1"/>
      </xdr:nvSpPr>
      <xdr:spPr>
        <a:xfrm>
          <a:off x="3308526" y="656459"/>
          <a:ext cx="3333574" cy="12580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Intervalle de confiance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9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Précisément, nous recommandons un prix dans l'intervalle suivant : </a:t>
          </a:r>
        </a:p>
      </xdr:txBody>
    </xdr:sp>
    <xdr:clientData/>
  </xdr:twoCellAnchor>
  <xdr:twoCellAnchor>
    <xdr:from>
      <xdr:col>6</xdr:col>
      <xdr:colOff>243637</xdr:colOff>
      <xdr:row>6</xdr:row>
      <xdr:rowOff>24144</xdr:rowOff>
    </xdr:from>
    <xdr:to>
      <xdr:col>11</xdr:col>
      <xdr:colOff>755440</xdr:colOff>
      <xdr:row>9</xdr:row>
      <xdr:rowOff>149714</xdr:rowOff>
    </xdr:to>
    <xdr:sp macro="" textlink="$J$16">
      <xdr:nvSpPr>
        <xdr:cNvPr id="4" name="Rectangle : coins arrondis 3">
          <a:extLst>
            <a:ext uri="{FF2B5EF4-FFF2-40B4-BE49-F238E27FC236}">
              <a16:creationId xmlns:a16="http://schemas.microsoft.com/office/drawing/2014/main" id="{3580C838-AE09-4E52-B765-85B3818FC295}"/>
            </a:ext>
          </a:extLst>
        </xdr:cNvPr>
        <xdr:cNvSpPr/>
      </xdr:nvSpPr>
      <xdr:spPr>
        <a:xfrm>
          <a:off x="4807263" y="1266232"/>
          <a:ext cx="4314825" cy="732658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DC7FE21-5EFA-4D53-A8FF-50FA942403B4}" type="TxLink">
            <a:rPr lang="en-US" sz="22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l"/>
            <a:t> </a:t>
          </a:fld>
          <a:endParaRPr lang="fr-FR" sz="14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735180</xdr:colOff>
      <xdr:row>7</xdr:row>
      <xdr:rowOff>38566</xdr:rowOff>
    </xdr:from>
    <xdr:to>
      <xdr:col>7</xdr:col>
      <xdr:colOff>165275</xdr:colOff>
      <xdr:row>8</xdr:row>
      <xdr:rowOff>20828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DF29C40-1F16-9709-A55D-C0DFBEEE5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180" y="1486366"/>
          <a:ext cx="192095" cy="185462"/>
        </a:xfrm>
        <a:prstGeom prst="rect">
          <a:avLst/>
        </a:prstGeom>
      </xdr:spPr>
    </xdr:pic>
    <xdr:clientData/>
  </xdr:twoCellAnchor>
  <xdr:twoCellAnchor>
    <xdr:from>
      <xdr:col>4</xdr:col>
      <xdr:colOff>355600</xdr:colOff>
      <xdr:row>6</xdr:row>
      <xdr:rowOff>114231</xdr:rowOff>
    </xdr:from>
    <xdr:to>
      <xdr:col>5</xdr:col>
      <xdr:colOff>588073</xdr:colOff>
      <xdr:row>8</xdr:row>
      <xdr:rowOff>153798</xdr:rowOff>
    </xdr:to>
    <xdr:sp macro="" textlink="Traitement!J6">
      <xdr:nvSpPr>
        <xdr:cNvPr id="9" name="Rectangle : coins arrondis 8">
          <a:extLst>
            <a:ext uri="{FF2B5EF4-FFF2-40B4-BE49-F238E27FC236}">
              <a16:creationId xmlns:a16="http://schemas.microsoft.com/office/drawing/2014/main" id="{CF2B6514-3C27-4491-BB1C-60989E6F3ED3}"/>
            </a:ext>
          </a:extLst>
        </xdr:cNvPr>
        <xdr:cNvSpPr/>
      </xdr:nvSpPr>
      <xdr:spPr>
        <a:xfrm>
          <a:off x="3403600" y="1358831"/>
          <a:ext cx="994473" cy="44596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AB13D514-486C-4DE5-B993-12F56CA0D23C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r"/>
            <a:t>165,06 $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202146</xdr:colOff>
      <xdr:row>6</xdr:row>
      <xdr:rowOff>95984</xdr:rowOff>
    </xdr:from>
    <xdr:to>
      <xdr:col>8</xdr:col>
      <xdr:colOff>469900</xdr:colOff>
      <xdr:row>8</xdr:row>
      <xdr:rowOff>171314</xdr:rowOff>
    </xdr:to>
    <xdr:sp macro="" textlink="Traitement!J7">
      <xdr:nvSpPr>
        <xdr:cNvPr id="10" name="Rectangle : coins arrondis 9">
          <a:extLst>
            <a:ext uri="{FF2B5EF4-FFF2-40B4-BE49-F238E27FC236}">
              <a16:creationId xmlns:a16="http://schemas.microsoft.com/office/drawing/2014/main" id="{CD566560-261D-4D06-9564-3CB699D4989C}"/>
            </a:ext>
          </a:extLst>
        </xdr:cNvPr>
        <xdr:cNvSpPr/>
      </xdr:nvSpPr>
      <xdr:spPr>
        <a:xfrm>
          <a:off x="5536146" y="1340584"/>
          <a:ext cx="1029754" cy="48173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FF8A51-CFF7-421F-858A-F0EAD96A61BA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201 $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164246</xdr:colOff>
      <xdr:row>6</xdr:row>
      <xdr:rowOff>172173</xdr:rowOff>
    </xdr:from>
    <xdr:to>
      <xdr:col>6</xdr:col>
      <xdr:colOff>585702</xdr:colOff>
      <xdr:row>9</xdr:row>
      <xdr:rowOff>3699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B00EFE94-85A1-8029-CFD6-45462A1D8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6246" y="1416773"/>
          <a:ext cx="421456" cy="441126"/>
        </a:xfrm>
        <a:prstGeom prst="rect">
          <a:avLst/>
        </a:prstGeom>
      </xdr:spPr>
    </xdr:pic>
    <xdr:clientData/>
  </xdr:twoCellAnchor>
  <xdr:twoCellAnchor editAs="oneCell">
    <xdr:from>
      <xdr:col>5</xdr:col>
      <xdr:colOff>584343</xdr:colOff>
      <xdr:row>7</xdr:row>
      <xdr:rowOff>41275</xdr:rowOff>
    </xdr:from>
    <xdr:to>
      <xdr:col>6</xdr:col>
      <xdr:colOff>31196</xdr:colOff>
      <xdr:row>8</xdr:row>
      <xdr:rowOff>38761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2EB3C661-60C7-4898-9B38-341D6F04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43" y="1489075"/>
          <a:ext cx="208853" cy="200686"/>
        </a:xfrm>
        <a:prstGeom prst="rect">
          <a:avLst/>
        </a:prstGeom>
      </xdr:spPr>
    </xdr:pic>
    <xdr:clientData/>
  </xdr:twoCellAnchor>
  <xdr:twoCellAnchor>
    <xdr:from>
      <xdr:col>4</xdr:col>
      <xdr:colOff>244021</xdr:colOff>
      <xdr:row>10</xdr:row>
      <xdr:rowOff>78121</xdr:rowOff>
    </xdr:from>
    <xdr:to>
      <xdr:col>8</xdr:col>
      <xdr:colOff>530225</xdr:colOff>
      <xdr:row>14</xdr:row>
      <xdr:rowOff>190500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6F61CE0D-0D2E-484C-BE4C-70E6B515CB41}"/>
            </a:ext>
          </a:extLst>
        </xdr:cNvPr>
        <xdr:cNvSpPr txBox="1"/>
      </xdr:nvSpPr>
      <xdr:spPr>
        <a:xfrm>
          <a:off x="3444421" y="2135521"/>
          <a:ext cx="3486604" cy="925179"/>
        </a:xfrm>
        <a:prstGeom prst="roundRect">
          <a:avLst>
            <a:gd name="adj" fmla="val 6717"/>
          </a:avLst>
        </a:prstGeom>
        <a:solidFill>
          <a:srgbClr val="70A6E8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Prix</a:t>
          </a:r>
          <a:r>
            <a:rPr lang="fr-FR" sz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moyen et nombre 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249463</xdr:colOff>
      <xdr:row>11</xdr:row>
      <xdr:rowOff>142876</xdr:rowOff>
    </xdr:from>
    <xdr:to>
      <xdr:col>8</xdr:col>
      <xdr:colOff>346074</xdr:colOff>
      <xdr:row>13</xdr:row>
      <xdr:rowOff>105202</xdr:rowOff>
    </xdr:to>
    <xdr:sp macro="" textlink="Traitement!B4">
      <xdr:nvSpPr>
        <xdr:cNvPr id="23" name="ZoneTexte 22">
          <a:extLst>
            <a:ext uri="{FF2B5EF4-FFF2-40B4-BE49-F238E27FC236}">
              <a16:creationId xmlns:a16="http://schemas.microsoft.com/office/drawing/2014/main" id="{31CD97CC-1B18-CE5A-5681-9A52FD478CF9}"/>
            </a:ext>
          </a:extLst>
        </xdr:cNvPr>
        <xdr:cNvSpPr txBox="1"/>
      </xdr:nvSpPr>
      <xdr:spPr>
        <a:xfrm>
          <a:off x="3449863" y="2403476"/>
          <a:ext cx="3297011" cy="3687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31D2B53-76FD-4A59-9D9B-E1746D25AAC5}" type="TxLink">
            <a:rPr lang="en-US" sz="900" b="0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Len moyenne, une nuit dans un Airbnb dans le  5eme arrondissement vaut : </a:t>
          </a:fld>
          <a:endParaRPr lang="fr-FR" sz="9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678688</xdr:colOff>
      <xdr:row>13</xdr:row>
      <xdr:rowOff>35658</xdr:rowOff>
    </xdr:from>
    <xdr:to>
      <xdr:col>3</xdr:col>
      <xdr:colOff>279683</xdr:colOff>
      <xdr:row>15</xdr:row>
      <xdr:rowOff>8735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561294D-3B04-449F-A89D-D69D6A8D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688" y="2702658"/>
          <a:ext cx="362995" cy="379477"/>
        </a:xfrm>
        <a:prstGeom prst="rect">
          <a:avLst/>
        </a:prstGeom>
      </xdr:spPr>
    </xdr:pic>
    <xdr:clientData/>
  </xdr:twoCellAnchor>
  <xdr:twoCellAnchor>
    <xdr:from>
      <xdr:col>8</xdr:col>
      <xdr:colOff>739775</xdr:colOff>
      <xdr:row>2</xdr:row>
      <xdr:rowOff>184150</xdr:rowOff>
    </xdr:from>
    <xdr:to>
      <xdr:col>13</xdr:col>
      <xdr:colOff>492125</xdr:colOff>
      <xdr:row>18</xdr:row>
      <xdr:rowOff>50800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2C65B981-01E2-4C0E-909E-E97D717D0F12}"/>
            </a:ext>
          </a:extLst>
        </xdr:cNvPr>
        <xdr:cNvSpPr txBox="1"/>
      </xdr:nvSpPr>
      <xdr:spPr>
        <a:xfrm>
          <a:off x="7140575" y="615950"/>
          <a:ext cx="3752850" cy="3117850"/>
        </a:xfrm>
        <a:prstGeom prst="roundRect">
          <a:avLst>
            <a:gd name="adj" fmla="val 3839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Nombre de logements par quartier</a:t>
          </a:r>
        </a:p>
        <a:p>
          <a:endParaRPr lang="fr-FR" sz="12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Certain quartier propose déjà un numbre important de AirBNB ...</a:t>
          </a:r>
        </a:p>
      </xdr:txBody>
    </xdr:sp>
    <xdr:clientData/>
  </xdr:twoCellAnchor>
  <xdr:twoCellAnchor editAs="oneCell">
    <xdr:from>
      <xdr:col>9</xdr:col>
      <xdr:colOff>172393</xdr:colOff>
      <xdr:row>6</xdr:row>
      <xdr:rowOff>60324</xdr:rowOff>
    </xdr:from>
    <xdr:to>
      <xdr:col>13</xdr:col>
      <xdr:colOff>342900</xdr:colOff>
      <xdr:row>18</xdr:row>
      <xdr:rowOff>3924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09" b="1"/>
        <a:stretch/>
      </xdr:blipFill>
      <xdr:spPr bwMode="auto">
        <a:xfrm>
          <a:off x="7373293" y="1304924"/>
          <a:ext cx="3370907" cy="2382000"/>
        </a:xfrm>
        <a:prstGeom prst="roundRect">
          <a:avLst>
            <a:gd name="adj" fmla="val 0"/>
          </a:avLst>
        </a:prstGeom>
        <a:ln>
          <a:noFill/>
        </a:ln>
        <a:effectLst/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340357</xdr:colOff>
      <xdr:row>13</xdr:row>
      <xdr:rowOff>29818</xdr:rowOff>
    </xdr:from>
    <xdr:to>
      <xdr:col>3</xdr:col>
      <xdr:colOff>727076</xdr:colOff>
      <xdr:row>15</xdr:row>
      <xdr:rowOff>29871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351AD9-730F-4302-ADD6-799F3146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657" y="2696818"/>
          <a:ext cx="386719" cy="406453"/>
        </a:xfrm>
        <a:prstGeom prst="rect">
          <a:avLst/>
        </a:prstGeom>
      </xdr:spPr>
    </xdr:pic>
    <xdr:clientData/>
  </xdr:twoCellAnchor>
  <xdr:twoCellAnchor>
    <xdr:from>
      <xdr:col>0</xdr:col>
      <xdr:colOff>319314</xdr:colOff>
      <xdr:row>11</xdr:row>
      <xdr:rowOff>97064</xdr:rowOff>
    </xdr:from>
    <xdr:to>
      <xdr:col>3</xdr:col>
      <xdr:colOff>701675</xdr:colOff>
      <xdr:row>13</xdr:row>
      <xdr:rowOff>146050</xdr:rowOff>
    </xdr:to>
    <xdr:sp macro="" textlink="Traitement!B3">
      <xdr:nvSpPr>
        <xdr:cNvPr id="24" name="ZoneTexte 23">
          <a:extLst>
            <a:ext uri="{FF2B5EF4-FFF2-40B4-BE49-F238E27FC236}">
              <a16:creationId xmlns:a16="http://schemas.microsoft.com/office/drawing/2014/main" id="{777C8A92-8C3D-4104-A573-383A61BECA94}"/>
            </a:ext>
          </a:extLst>
        </xdr:cNvPr>
        <xdr:cNvSpPr txBox="1"/>
      </xdr:nvSpPr>
      <xdr:spPr>
        <a:xfrm>
          <a:off x="319314" y="2357664"/>
          <a:ext cx="2668361" cy="4553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B8CAD6-061D-4319-9870-82CA3ECF5964}" type="TxLink">
            <a:rPr lang="en-US" sz="1100" b="0" i="0" u="none" strike="noStrike">
              <a:solidFill>
                <a:srgbClr val="000000"/>
              </a:solidFill>
              <a:latin typeface="Calibri"/>
              <a:ea typeface="Tahoma" panose="020B0604030504040204" pitchFamily="34" charset="0"/>
              <a:cs typeface="Calibri"/>
            </a:rPr>
            <a:pPr/>
            <a:t>Vous avez selectionné 9 équipements sur 36 proposés.</a:t>
          </a:fld>
          <a:endParaRPr lang="fr-FR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516539</xdr:colOff>
      <xdr:row>12</xdr:row>
      <xdr:rowOff>132630</xdr:rowOff>
    </xdr:from>
    <xdr:to>
      <xdr:col>8</xdr:col>
      <xdr:colOff>171450</xdr:colOff>
      <xdr:row>14</xdr:row>
      <xdr:rowOff>155270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6B3D384-88B6-6E33-9BD5-B8E6E5DEC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239" y="2596430"/>
          <a:ext cx="455011" cy="429040"/>
        </a:xfrm>
        <a:prstGeom prst="rect">
          <a:avLst/>
        </a:prstGeom>
      </xdr:spPr>
    </xdr:pic>
    <xdr:clientData/>
  </xdr:twoCellAnchor>
  <xdr:twoCellAnchor>
    <xdr:from>
      <xdr:col>5</xdr:col>
      <xdr:colOff>495267</xdr:colOff>
      <xdr:row>13</xdr:row>
      <xdr:rowOff>42144</xdr:rowOff>
    </xdr:from>
    <xdr:to>
      <xdr:col>7</xdr:col>
      <xdr:colOff>174625</xdr:colOff>
      <xdr:row>14</xdr:row>
      <xdr:rowOff>187325</xdr:rowOff>
    </xdr:to>
    <xdr:sp macro="" textlink="Traitement!J9">
      <xdr:nvSpPr>
        <xdr:cNvPr id="29" name="Rectangle : coins arrondis 28">
          <a:extLst>
            <a:ext uri="{FF2B5EF4-FFF2-40B4-BE49-F238E27FC236}">
              <a16:creationId xmlns:a16="http://schemas.microsoft.com/office/drawing/2014/main" id="{14BF5B08-D258-4669-86D6-2922F5A9B453}"/>
            </a:ext>
          </a:extLst>
        </xdr:cNvPr>
        <xdr:cNvSpPr/>
      </xdr:nvSpPr>
      <xdr:spPr>
        <a:xfrm>
          <a:off x="4495767" y="2709144"/>
          <a:ext cx="1279558" cy="3483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EBB142E4-9D0A-4A36-B7B4-EE0E41EE083F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217,51 $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7</xdr:row>
      <xdr:rowOff>34925</xdr:rowOff>
    </xdr:from>
    <xdr:to>
      <xdr:col>3</xdr:col>
      <xdr:colOff>523875</xdr:colOff>
      <xdr:row>9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29C6D82-867A-8433-0828-8A6643F3C92A}"/>
            </a:ext>
          </a:extLst>
        </xdr:cNvPr>
        <xdr:cNvSpPr txBox="1"/>
      </xdr:nvSpPr>
      <xdr:spPr>
        <a:xfrm>
          <a:off x="412750" y="1939925"/>
          <a:ext cx="3692525" cy="3587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Preparation average per neighbourhood</a:t>
          </a:r>
        </a:p>
      </xdr:txBody>
    </xdr:sp>
    <xdr:clientData/>
  </xdr:twoCellAnchor>
  <xdr:twoCellAnchor>
    <xdr:from>
      <xdr:col>1</xdr:col>
      <xdr:colOff>174624</xdr:colOff>
      <xdr:row>0</xdr:row>
      <xdr:rowOff>85725</xdr:rowOff>
    </xdr:from>
    <xdr:to>
      <xdr:col>1</xdr:col>
      <xdr:colOff>2171700</xdr:colOff>
      <xdr:row>1</xdr:row>
      <xdr:rowOff>200025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6B37E80D-258A-4294-B3E1-8057B475B2F1}"/>
            </a:ext>
          </a:extLst>
        </xdr:cNvPr>
        <xdr:cNvSpPr txBox="1"/>
      </xdr:nvSpPr>
      <xdr:spPr>
        <a:xfrm>
          <a:off x="1755774" y="85725"/>
          <a:ext cx="1997076" cy="3048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Sentence Preparation </a:t>
          </a:r>
        </a:p>
      </xdr:txBody>
    </xdr:sp>
    <xdr:clientData/>
  </xdr:twoCellAnchor>
  <xdr:twoCellAnchor>
    <xdr:from>
      <xdr:col>7</xdr:col>
      <xdr:colOff>244474</xdr:colOff>
      <xdr:row>0</xdr:row>
      <xdr:rowOff>114300</xdr:rowOff>
    </xdr:from>
    <xdr:to>
      <xdr:col>9</xdr:col>
      <xdr:colOff>542924</xdr:colOff>
      <xdr:row>2</xdr:row>
      <xdr:rowOff>3175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CFA0866E-94B8-4513-AB0C-31F44599BB79}"/>
            </a:ext>
          </a:extLst>
        </xdr:cNvPr>
        <xdr:cNvSpPr txBox="1"/>
      </xdr:nvSpPr>
      <xdr:spPr>
        <a:xfrm>
          <a:off x="7997824" y="114300"/>
          <a:ext cx="2260600" cy="2825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Value Preparation </a:t>
          </a:r>
        </a:p>
      </xdr:txBody>
    </xdr:sp>
    <xdr:clientData/>
  </xdr:twoCellAnchor>
  <xdr:twoCellAnchor>
    <xdr:from>
      <xdr:col>5</xdr:col>
      <xdr:colOff>254000</xdr:colOff>
      <xdr:row>14</xdr:row>
      <xdr:rowOff>44450</xdr:rowOff>
    </xdr:from>
    <xdr:to>
      <xdr:col>8</xdr:col>
      <xdr:colOff>349250</xdr:colOff>
      <xdr:row>16</xdr:row>
      <xdr:rowOff>148175</xdr:rowOff>
    </xdr:to>
    <xdr:sp macro="[0]!UpdateAverageNeighbourhoo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9AFC74A-3198-47B1-94DB-24A004C1D27F}"/>
            </a:ext>
          </a:extLst>
        </xdr:cNvPr>
        <xdr:cNvSpPr/>
      </xdr:nvSpPr>
      <xdr:spPr>
        <a:xfrm>
          <a:off x="6483350" y="3409950"/>
          <a:ext cx="2819400" cy="484725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Mettre à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jour les moyennes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3" totalsRowShown="0" dataDxfId="76">
  <autoFilter ref="B1:BY3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il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Row],[Drying rack for clothing]]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>
      <calculatedColumnFormula>Tableau4[[#This Row],[Clothing storage]]</calculatedColumnFormula>
    </tableColumn>
    <tableColumn id="38" xr3:uid="{B65FB4A3-20BC-4278-818F-828357D33835}" name="accommodates_squared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s_squared" dataDxfId="32">
      <calculatedColumnFormula>Tableau4[[#This Row],[beds]]^2</calculatedColumnFormula>
    </tableColumn>
    <tableColumn id="40" xr3:uid="{28AB5B42-0353-4475-BE1C-C9B88DA998A8}" name="neighbourhood_cleansed_Batignolles_Monceau" dataDxfId="31"/>
    <tableColumn id="41" xr3:uid="{9511FF1F-4260-483E-B0F2-A4872D38E019}" name="neighbourhood_cleansed_Bourse" dataDxfId="30"/>
    <tableColumn id="42" xr3:uid="{5EE6E333-224A-49FF-AE5D-3DAAC45FF3D3}" name="neighbourhood_cleansed_Buttes-Chaumont" dataDxfId="29"/>
    <tableColumn id="43" xr3:uid="{4C243AF9-BE32-43C6-928E-EAFFFD508569}" name="neighbourhood_cleansed_Buttes-Montmartre" dataDxfId="28"/>
    <tableColumn id="44" xr3:uid="{13444BCD-1F00-4162-B339-CD3A7C49FAD4}" name="neighbourhood_cleansed_Entrepôt" dataDxfId="27"/>
    <tableColumn id="45" xr3:uid="{3E8E42A1-2BC9-462E-A994-065E970B739B}" name="neighbourhood_cleansed_Gobelins" dataDxfId="26"/>
    <tableColumn id="46" xr3:uid="{7B249CA4-7CCA-4CAF-8E8D-D4850CCBCD8C}" name="neighbourhood_cleansed_Hôtel-de-Ville" dataDxfId="25"/>
    <tableColumn id="47" xr3:uid="{A04B0801-74A5-454B-9E71-4042B7325C81}" name="neighbourhood_cleansed_Louvre" dataDxfId="24"/>
    <tableColumn id="48" xr3:uid="{34F3390D-4FF8-4448-822D-4C6A30BC56D6}" name="neighbourhood_cleansed_Luxembourg" dataDxfId="23"/>
    <tableColumn id="49" xr3:uid="{F000BEC8-6976-4C0D-A1D8-5FF22F9D7757}" name="neighbourhood_cleansed_Ménilmontant" dataDxfId="22"/>
    <tableColumn id="50" xr3:uid="{34B4D596-7248-4A13-895B-ABD6B30DFDE5}" name="neighbourhood_cleansed_Observatoire" dataDxfId="21"/>
    <tableColumn id="51" xr3:uid="{1C8F6A85-42B5-49BD-9C93-BD2E7896430B}" name="neighbourhood_cleansed_Opéra" dataDxfId="20"/>
    <tableColumn id="52" xr3:uid="{2C009553-8E69-4383-A3C9-BFC6407B072E}" name="neighbourhood_cleansed_Palais-Bourbon" dataDxfId="19"/>
    <tableColumn id="53" xr3:uid="{0712F701-3FBA-4D89-BC20-A4C90B7243BC}" name="neighbourhood_cleansed_Panthéon" dataDxfId="18"/>
    <tableColumn id="54" xr3:uid="{BF48E10C-57DA-4114-98B7-4295B2B179ED}" name="neighbourhood_cleansed_Passy" dataDxfId="17"/>
    <tableColumn id="55" xr3:uid="{24F1D10F-D2C5-49E3-8BE5-6B6F4E231EC8}" name="neighbourhood_cleansed_Popincourt" dataDxfId="16"/>
    <tableColumn id="56" xr3:uid="{313441FB-22D0-4623-8348-1B5E0991F092}" name="neighbourhood_cleansed_Reuilly" dataDxfId="15"/>
    <tableColumn id="57" xr3:uid="{07E3F9BA-1C8C-4315-A0C0-0A6FADF47404}" name="neighbourhood_cleansed_Temple" dataDxfId="14"/>
    <tableColumn id="58" xr3:uid="{4657BA8C-C75A-4812-9B98-A7185DFABE27}" name="neighbourhood_cleansed_Vaugirard" dataDxfId="13"/>
    <tableColumn id="59" xr3:uid="{2DDAC467-37A4-42D9-AB2E-8960B4AA8FDF}" name="neighbourhood_cleansed_Élysée" dataDxfId="12"/>
    <tableColumn id="60" xr3:uid="{1E2709DB-E0F3-4F13-B52E-E727F1DB78F0}" name="property_type_Entire condo" dataDxfId="11"/>
    <tableColumn id="61" xr3:uid="{C5B48FD5-C531-40CB-800B-AA50EEE09889}" name="property_type_Entire rental unit" dataDxfId="10"/>
    <tableColumn id="62" xr3:uid="{8E75A02C-7A83-47F3-96DE-6949B8F8F2C9}" name="property_type_Entire serviced apart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H21" totalsRowShown="0">
  <autoFilter ref="G1:H21" xr:uid="{7ECB73AA-3570-4780-BB9D-5476EF626FB4}"/>
  <tableColumns count="2">
    <tableColumn id="1" xr3:uid="{C6E353E7-B057-4A89-B40D-E1F43016DA1C}" name="Arrondissement"/>
    <tableColumn id="2" xr3:uid="{A0F8F268-EC2F-419C-8A74-0FAFCDDD58F1}" name="Nom de l'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tabSelected="1" zoomScaleNormal="100" workbookViewId="0">
      <selection activeCell="F21" sqref="F21"/>
    </sheetView>
  </sheetViews>
  <sheetFormatPr baseColWidth="10" defaultColWidth="11.453125" defaultRowHeight="14.5" x14ac:dyDescent="0.35"/>
  <cols>
    <col min="1" max="2" width="11.453125" style="3"/>
    <col min="3" max="3" width="4.7265625" style="3" customWidth="1"/>
    <col min="4" max="4" width="61.81640625" style="3" customWidth="1"/>
    <col min="5" max="5" width="4.7265625" style="3" customWidth="1"/>
    <col min="6" max="16384" width="11.453125" style="3"/>
  </cols>
  <sheetData>
    <row r="5" spans="4:4" ht="17.5" x14ac:dyDescent="0.35">
      <c r="D5" s="2"/>
    </row>
    <row r="7" spans="4:4" ht="17.5" x14ac:dyDescent="0.35">
      <c r="D7" s="4"/>
    </row>
    <row r="9" spans="4:4" ht="17.5" x14ac:dyDescent="0.35">
      <c r="D9" s="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C1"/>
  <sheetViews>
    <sheetView workbookViewId="0">
      <selection activeCell="D2" sqref="D2"/>
    </sheetView>
  </sheetViews>
  <sheetFormatPr baseColWidth="10" defaultRowHeight="14.5" x14ac:dyDescent="0.35"/>
  <sheetData>
    <row r="1" spans="1:3" x14ac:dyDescent="0.35">
      <c r="A1" t="s">
        <v>132</v>
      </c>
      <c r="B1" t="s">
        <v>133</v>
      </c>
      <c r="C1" t="s">
        <v>134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5"/>
  <sheetViews>
    <sheetView zoomScaleNormal="100" workbookViewId="0">
      <selection activeCell="B5" sqref="B5"/>
    </sheetView>
  </sheetViews>
  <sheetFormatPr baseColWidth="10" defaultRowHeight="14.5" x14ac:dyDescent="0.35"/>
  <cols>
    <col min="1" max="1" width="17" customWidth="1"/>
    <col min="2" max="12" width="15.26953125" customWidth="1"/>
    <col min="77" max="77" width="11.7265625" customWidth="1"/>
  </cols>
  <sheetData>
    <row r="1" spans="1:77" x14ac:dyDescent="0.3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35">
      <c r="B2" s="1" t="s">
        <v>207</v>
      </c>
      <c r="C2" s="1" t="s">
        <v>208</v>
      </c>
      <c r="D2" s="1" t="s">
        <v>209</v>
      </c>
      <c r="E2" s="16">
        <f>IF(E3=FALSE,0,1)</f>
        <v>1</v>
      </c>
      <c r="F2" s="16">
        <f>IF(F3=FALSE,0,1)</f>
        <v>0</v>
      </c>
      <c r="G2" s="16">
        <f t="shared" ref="G2:H2" si="0">IF(G3=FALSE,0,1)</f>
        <v>1</v>
      </c>
      <c r="H2" s="16">
        <f t="shared" si="0"/>
        <v>0</v>
      </c>
      <c r="I2" s="16">
        <f t="shared" ref="I2" si="1">IF(I3=FALSE,0,1)</f>
        <v>1</v>
      </c>
      <c r="J2" s="16">
        <f t="shared" ref="J2" si="2">IF(J3=FALSE,0,1)</f>
        <v>0</v>
      </c>
      <c r="K2" s="16">
        <f t="shared" ref="K2" si="3">IF(K3=FALSE,0,1)</f>
        <v>0</v>
      </c>
      <c r="L2" s="16">
        <f t="shared" ref="L2" si="4">IF(L3=FALSE,0,1)</f>
        <v>0</v>
      </c>
      <c r="M2" s="16">
        <f t="shared" ref="M2" si="5">IF(M3=FALSE,0,1)</f>
        <v>0</v>
      </c>
      <c r="N2" s="16">
        <f t="shared" ref="N2" si="6">IF(N3=FALSE,0,1)</f>
        <v>0</v>
      </c>
      <c r="O2" s="16">
        <f t="shared" ref="O2" si="7">IF(O3=FALSE,0,1)</f>
        <v>0</v>
      </c>
      <c r="P2" s="16">
        <f t="shared" ref="P2" si="8">IF(P3=FALSE,0,1)</f>
        <v>0</v>
      </c>
      <c r="Q2" s="16">
        <f t="shared" ref="Q2" si="9">IF(Q3=FALSE,0,1)</f>
        <v>1</v>
      </c>
      <c r="R2" s="16">
        <f t="shared" ref="R2" si="10">IF(R3=FALSE,0,1)</f>
        <v>0</v>
      </c>
      <c r="S2" s="16">
        <f t="shared" ref="S2" si="11">IF(S3=FALSE,0,1)</f>
        <v>1</v>
      </c>
      <c r="T2" s="16">
        <f t="shared" ref="T2" si="12">IF(T3=FALSE,0,1)</f>
        <v>0</v>
      </c>
      <c r="U2" s="16">
        <f t="shared" ref="U2" si="13">IF(U3=FALSE,0,1)</f>
        <v>1</v>
      </c>
      <c r="V2" s="16">
        <f t="shared" ref="V2" si="14">IF(V3=FALSE,0,1)</f>
        <v>1</v>
      </c>
      <c r="W2" s="16">
        <f t="shared" ref="W2" si="15">IF(W3=FALSE,0,1)</f>
        <v>1</v>
      </c>
      <c r="X2" s="16">
        <f t="shared" ref="X2" si="16">IF(X3=FALSE,0,1)</f>
        <v>1</v>
      </c>
      <c r="Y2" s="16">
        <f t="shared" ref="Y2" si="17">IF(Y3=FALSE,0,1)</f>
        <v>1</v>
      </c>
      <c r="Z2" s="16">
        <f t="shared" ref="Z2" si="18">IF(Z3=FALSE,0,1)</f>
        <v>0</v>
      </c>
      <c r="AA2" s="16">
        <f t="shared" ref="AA2" si="19">IF(AA3=FALSE,0,1)</f>
        <v>0</v>
      </c>
      <c r="AB2" s="16">
        <f t="shared" ref="AB2" si="20">IF(AB3=FALSE,0,1)</f>
        <v>0</v>
      </c>
      <c r="AC2" s="16">
        <f t="shared" ref="AC2" si="21">IF(AC3=FALSE,0,1)</f>
        <v>0</v>
      </c>
      <c r="AD2" s="16">
        <f t="shared" ref="AD2" si="22">IF(AD3=FALSE,0,1)</f>
        <v>0</v>
      </c>
      <c r="AE2" s="16">
        <f>Tableau4[[#This Row],[Shower gel]]</f>
        <v>0</v>
      </c>
      <c r="AF2" s="16">
        <f>Tableau4[[#This Row],[Dryer]]</f>
        <v>0</v>
      </c>
      <c r="AG2" s="16">
        <f>Tableau4[[#This Row],[Body soap]]</f>
        <v>0</v>
      </c>
      <c r="AH2" s="16">
        <f>Tableau4[[#This Row],[Drying rack for clothing]]</f>
        <v>0</v>
      </c>
      <c r="AI2" s="16">
        <f>Tableau4[[#This Row],[Iron]]</f>
        <v>0</v>
      </c>
      <c r="AJ2" s="16">
        <f>Tableau4[[#This Row],[Free dryer]]</f>
        <v>0</v>
      </c>
      <c r="AK2" s="16">
        <f>Tableau4[[#This Row],[Bathtub]]</f>
        <v>0</v>
      </c>
      <c r="AL2" s="16">
        <f>Tableau4[[#This Row],[Fire extinguisher]]</f>
        <v>0</v>
      </c>
      <c r="AM2" s="16">
        <f>Tableau4[[#This Row],[Free washer]]</f>
        <v>0</v>
      </c>
      <c r="AN2" s="16">
        <f>Tableau4[[#This Row],[Carbon monoxide alarm]]</f>
        <v>0</v>
      </c>
      <c r="AO2" s="16">
        <f>Tableau4[[#This Row],[Clothing storage]]</f>
        <v>0</v>
      </c>
      <c r="AP2" s="16">
        <f>Tableau4[[#This Row],[accommodates]]^2</f>
        <v>9</v>
      </c>
      <c r="AQ2" s="16">
        <v>25</v>
      </c>
      <c r="AR2" s="16">
        <f>Tableau4[[#This Row],[bathrooms]]^2</f>
        <v>4</v>
      </c>
      <c r="AS2" s="16">
        <f>Tableau4[[#This Row],[beds]]^2</f>
        <v>25</v>
      </c>
      <c r="AT2" s="16">
        <v>0</v>
      </c>
      <c r="AU2" s="16">
        <v>0</v>
      </c>
      <c r="AV2" s="16">
        <v>0</v>
      </c>
      <c r="AW2" s="16">
        <v>0</v>
      </c>
      <c r="AX2" s="16">
        <v>0</v>
      </c>
      <c r="AY2" s="16">
        <v>0</v>
      </c>
      <c r="AZ2" s="16">
        <v>0</v>
      </c>
      <c r="BA2" s="16">
        <v>0</v>
      </c>
      <c r="BB2" s="16">
        <v>0</v>
      </c>
      <c r="BC2" s="16">
        <v>0</v>
      </c>
      <c r="BD2" s="16">
        <v>0</v>
      </c>
      <c r="BE2" s="16">
        <v>0</v>
      </c>
      <c r="BF2" s="16">
        <v>0</v>
      </c>
      <c r="BG2" s="16">
        <v>1</v>
      </c>
      <c r="BH2" s="16">
        <v>0</v>
      </c>
      <c r="BI2" s="16">
        <v>0</v>
      </c>
      <c r="BJ2" s="16">
        <v>0</v>
      </c>
      <c r="BK2" s="16">
        <v>0</v>
      </c>
      <c r="BL2" s="16">
        <v>0</v>
      </c>
      <c r="BM2" s="16">
        <v>0</v>
      </c>
      <c r="BN2" s="16">
        <v>0</v>
      </c>
      <c r="BO2" s="16">
        <v>0</v>
      </c>
      <c r="BP2" s="16">
        <v>0</v>
      </c>
      <c r="BQ2" s="16">
        <v>0</v>
      </c>
      <c r="BR2" s="16">
        <v>0</v>
      </c>
      <c r="BS2" s="16">
        <v>0</v>
      </c>
      <c r="BT2" s="16">
        <v>0</v>
      </c>
      <c r="BU2" s="16">
        <v>0</v>
      </c>
      <c r="BV2" s="16">
        <v>0</v>
      </c>
      <c r="BW2" s="16">
        <v>0</v>
      </c>
      <c r="BX2" s="16">
        <v>0</v>
      </c>
      <c r="BY2" s="16">
        <v>1</v>
      </c>
    </row>
    <row r="3" spans="1:77" x14ac:dyDescent="0.35">
      <c r="B3" s="1"/>
      <c r="C3" s="1"/>
      <c r="D3" s="1"/>
      <c r="E3" s="1" t="b">
        <v>1</v>
      </c>
      <c r="F3" s="1" t="b">
        <v>0</v>
      </c>
      <c r="G3" s="1" t="b">
        <v>1</v>
      </c>
      <c r="H3" s="1" t="b">
        <v>0</v>
      </c>
      <c r="I3" s="1" t="b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0</v>
      </c>
      <c r="Q3" s="1" t="b">
        <v>1</v>
      </c>
      <c r="R3" s="1" t="b">
        <v>0</v>
      </c>
      <c r="S3" s="1" t="b">
        <v>1</v>
      </c>
      <c r="T3" s="1" t="b">
        <v>0</v>
      </c>
      <c r="U3" s="1" t="b">
        <v>1</v>
      </c>
      <c r="V3" s="1" t="b">
        <v>1</v>
      </c>
      <c r="W3" s="1" t="b">
        <v>1</v>
      </c>
      <c r="X3" s="1" t="b">
        <v>1</v>
      </c>
      <c r="Y3" s="1" t="b">
        <v>1</v>
      </c>
      <c r="Z3" s="1" t="b">
        <v>0</v>
      </c>
      <c r="AA3" s="1" t="b">
        <v>0</v>
      </c>
      <c r="AB3" s="1" t="b">
        <v>0</v>
      </c>
      <c r="AC3" s="1" t="b">
        <v>0</v>
      </c>
      <c r="AD3" s="1" t="b">
        <v>0</v>
      </c>
      <c r="AE3" s="1" t="b">
        <f>Tableau4[[#This Row],[Shower gel]]</f>
        <v>0</v>
      </c>
      <c r="AF3" s="1" t="b">
        <f>Tableau4[[#This Row],[Dryer]]</f>
        <v>0</v>
      </c>
      <c r="AG3" s="1" t="b">
        <v>0</v>
      </c>
      <c r="AH3" s="1" t="b">
        <f>Tableau4[[#This Row],[Drying rack for clothing]]</f>
        <v>0</v>
      </c>
      <c r="AI3" s="1" t="b">
        <v>0</v>
      </c>
      <c r="AJ3" s="1" t="b">
        <v>0</v>
      </c>
      <c r="AK3" s="1" t="b">
        <v>1</v>
      </c>
      <c r="AL3" s="1" t="b">
        <v>0</v>
      </c>
      <c r="AM3" s="1" t="b">
        <v>0</v>
      </c>
      <c r="AN3" s="1" t="b">
        <v>0</v>
      </c>
      <c r="AO3" s="1" t="b">
        <f>Tableau4[[#This Row],[Clothing storage]]</f>
        <v>0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5" spans="1:77" x14ac:dyDescent="0.35">
      <c r="A5" t="s">
        <v>179</v>
      </c>
      <c r="B5" s="16">
        <f>SUM(E2:T2)+SUM(V2:AD2)+SUM(AI2:AN2)+AG2</f>
        <v>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workbookViewId="0">
      <selection activeCell="F4" sqref="F4"/>
    </sheetView>
  </sheetViews>
  <sheetFormatPr baseColWidth="10" defaultRowHeight="14.5" x14ac:dyDescent="0.35"/>
  <sheetData>
    <row r="1" spans="1:77" x14ac:dyDescent="0.3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35">
      <c r="A2">
        <v>1</v>
      </c>
      <c r="B2" t="str">
        <f>Data!B2</f>
        <v>3</v>
      </c>
      <c r="C2" t="str">
        <f>Data!C2</f>
        <v>2</v>
      </c>
      <c r="D2" t="str">
        <f>Data!D2</f>
        <v>5</v>
      </c>
      <c r="E2" s="1">
        <f>Data!E2</f>
        <v>1</v>
      </c>
      <c r="F2" s="1">
        <f>Data!F2</f>
        <v>0</v>
      </c>
      <c r="G2" s="1">
        <f>Data!G2</f>
        <v>1</v>
      </c>
      <c r="H2" s="1">
        <f>Data!H2</f>
        <v>0</v>
      </c>
      <c r="I2" s="1">
        <f>Data!I2</f>
        <v>1</v>
      </c>
      <c r="J2" s="1">
        <f>Data!J2</f>
        <v>0</v>
      </c>
      <c r="K2" s="1">
        <f>Data!K2</f>
        <v>0</v>
      </c>
      <c r="L2" s="1">
        <f>Data!L2</f>
        <v>0</v>
      </c>
      <c r="M2" s="1">
        <f>Data!M2</f>
        <v>0</v>
      </c>
      <c r="N2" s="1">
        <f>Data!N2</f>
        <v>0</v>
      </c>
      <c r="O2" s="1">
        <f>Data!O2</f>
        <v>0</v>
      </c>
      <c r="P2" s="1">
        <f>Data!P2</f>
        <v>0</v>
      </c>
      <c r="Q2" s="1">
        <f>Data!Q2</f>
        <v>1</v>
      </c>
      <c r="R2" s="1">
        <f>Data!R2</f>
        <v>0</v>
      </c>
      <c r="S2" s="1">
        <f>Data!S2</f>
        <v>1</v>
      </c>
      <c r="T2" s="1">
        <f>Data!T2</f>
        <v>0</v>
      </c>
      <c r="U2" s="1">
        <f>Data!U2</f>
        <v>1</v>
      </c>
      <c r="V2" s="1">
        <f>Data!V2</f>
        <v>1</v>
      </c>
      <c r="W2" s="1">
        <f>Data!W2</f>
        <v>1</v>
      </c>
      <c r="X2" s="1">
        <f>Data!X2</f>
        <v>1</v>
      </c>
      <c r="Y2" s="1">
        <f>Data!Y2</f>
        <v>1</v>
      </c>
      <c r="Z2" s="1">
        <f>Data!Z2</f>
        <v>0</v>
      </c>
      <c r="AA2" s="1">
        <f>Data!AA2</f>
        <v>0</v>
      </c>
      <c r="AB2" s="1">
        <f>Data!AB2</f>
        <v>0</v>
      </c>
      <c r="AC2" s="1">
        <f>Data!AC2</f>
        <v>0</v>
      </c>
      <c r="AD2" s="1">
        <f>Data!AD2</f>
        <v>0</v>
      </c>
      <c r="AE2" s="1">
        <f>Data!AE2</f>
        <v>0</v>
      </c>
      <c r="AF2" s="1">
        <f>Data!AF2</f>
        <v>0</v>
      </c>
      <c r="AG2" s="1">
        <f>Data!AG2</f>
        <v>0</v>
      </c>
      <c r="AH2" s="1">
        <f>Data!AH2</f>
        <v>0</v>
      </c>
      <c r="AI2" s="1">
        <f>Data!AI2</f>
        <v>0</v>
      </c>
      <c r="AJ2" s="1">
        <f>Data!AJ2</f>
        <v>0</v>
      </c>
      <c r="AK2" s="1">
        <f>Data!AK2</f>
        <v>0</v>
      </c>
      <c r="AL2" s="1">
        <f>Data!AL2</f>
        <v>0</v>
      </c>
      <c r="AM2" s="1">
        <f>Data!AM2</f>
        <v>0</v>
      </c>
      <c r="AN2" s="1">
        <f>Data!AN2</f>
        <v>0</v>
      </c>
      <c r="AO2" s="1">
        <f>Data!AO2</f>
        <v>0</v>
      </c>
      <c r="AP2" s="1">
        <f>Data!AP2</f>
        <v>9</v>
      </c>
      <c r="AQ2">
        <f>Data!AQ2</f>
        <v>25</v>
      </c>
      <c r="AR2">
        <f>Data!AR2</f>
        <v>4</v>
      </c>
      <c r="AS2">
        <f>Data!AS2</f>
        <v>25</v>
      </c>
      <c r="AT2" s="1">
        <f>Data!AT2</f>
        <v>0</v>
      </c>
      <c r="AU2">
        <f>Data!AU2</f>
        <v>0</v>
      </c>
      <c r="AV2">
        <f>Data!AV2</f>
        <v>0</v>
      </c>
      <c r="AW2">
        <f>Data!AW2</f>
        <v>0</v>
      </c>
      <c r="AX2">
        <f>Data!AX2</f>
        <v>0</v>
      </c>
      <c r="AY2">
        <f>Data!AY2</f>
        <v>0</v>
      </c>
      <c r="AZ2">
        <f>Data!AZ2</f>
        <v>0</v>
      </c>
      <c r="BA2">
        <f>Data!BA2</f>
        <v>0</v>
      </c>
      <c r="BB2">
        <f>Data!BB2</f>
        <v>0</v>
      </c>
      <c r="BC2">
        <f>Data!BC2</f>
        <v>0</v>
      </c>
      <c r="BD2">
        <f>Data!BD2</f>
        <v>0</v>
      </c>
      <c r="BE2">
        <f>Data!BE2</f>
        <v>0</v>
      </c>
      <c r="BF2">
        <f>Data!BF2</f>
        <v>0</v>
      </c>
      <c r="BG2">
        <f>Data!BG2</f>
        <v>1</v>
      </c>
      <c r="BH2">
        <f>Data!BH2</f>
        <v>0</v>
      </c>
      <c r="BI2">
        <f>Data!BI2</f>
        <v>0</v>
      </c>
      <c r="BJ2">
        <f>Data!BJ2</f>
        <v>0</v>
      </c>
      <c r="BK2">
        <f>Data!BK2</f>
        <v>0</v>
      </c>
      <c r="BL2">
        <f>Data!BL2</f>
        <v>0</v>
      </c>
      <c r="BM2">
        <f>Data!BM2</f>
        <v>0</v>
      </c>
      <c r="BN2">
        <f>Data!BN2</f>
        <v>0</v>
      </c>
      <c r="BO2">
        <f>Data!BO2</f>
        <v>0</v>
      </c>
      <c r="BP2">
        <f>Data!BP2</f>
        <v>0</v>
      </c>
      <c r="BQ2">
        <f>Data!BQ2</f>
        <v>0</v>
      </c>
      <c r="BR2">
        <f>Data!BR2</f>
        <v>0</v>
      </c>
      <c r="BS2">
        <f>Data!BS2</f>
        <v>0</v>
      </c>
      <c r="BT2">
        <f>Data!BT2</f>
        <v>0</v>
      </c>
      <c r="BU2">
        <f>Data!BU2</f>
        <v>0</v>
      </c>
      <c r="BV2">
        <f>Data!BV2</f>
        <v>0</v>
      </c>
      <c r="BW2">
        <f>Data!BW2</f>
        <v>0</v>
      </c>
      <c r="BX2">
        <f>Data!BX2</f>
        <v>0</v>
      </c>
      <c r="BY2">
        <f>Data!BY2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J26"/>
  <sheetViews>
    <sheetView topLeftCell="B1" zoomScaleNormal="100" workbookViewId="0">
      <selection activeCell="H2" sqref="H2"/>
    </sheetView>
  </sheetViews>
  <sheetFormatPr baseColWidth="10" defaultRowHeight="14.5" x14ac:dyDescent="0.3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41" customWidth="1"/>
    <col min="7" max="7" width="21.54296875" customWidth="1"/>
    <col min="8" max="8" width="23.1796875" customWidth="1"/>
    <col min="9" max="9" width="1.54296875" customWidth="1"/>
    <col min="10" max="10" width="10.81640625" hidden="1" customWidth="1"/>
    <col min="11" max="11" width="54.1796875" customWidth="1"/>
  </cols>
  <sheetData>
    <row r="1" spans="1:8" x14ac:dyDescent="0.35">
      <c r="A1" t="s">
        <v>7</v>
      </c>
      <c r="B1" t="s">
        <v>6</v>
      </c>
      <c r="C1" t="s">
        <v>14</v>
      </c>
      <c r="D1" t="s">
        <v>8</v>
      </c>
      <c r="E1" t="s">
        <v>41</v>
      </c>
      <c r="G1" t="s">
        <v>39</v>
      </c>
      <c r="H1" t="s">
        <v>160</v>
      </c>
    </row>
    <row r="2" spans="1:8" x14ac:dyDescent="0.35">
      <c r="A2">
        <v>0</v>
      </c>
      <c r="B2" t="s">
        <v>3</v>
      </c>
      <c r="C2" t="s">
        <v>26</v>
      </c>
      <c r="D2" t="s">
        <v>9</v>
      </c>
      <c r="E2" t="s">
        <v>42</v>
      </c>
      <c r="G2" t="s">
        <v>40</v>
      </c>
      <c r="H2" t="s">
        <v>151</v>
      </c>
    </row>
    <row r="3" spans="1:8" x14ac:dyDescent="0.35">
      <c r="A3">
        <v>1</v>
      </c>
      <c r="B3" t="s">
        <v>4</v>
      </c>
      <c r="C3" t="s">
        <v>2</v>
      </c>
      <c r="D3" t="s">
        <v>10</v>
      </c>
      <c r="E3" t="s">
        <v>43</v>
      </c>
      <c r="G3" t="s">
        <v>161</v>
      </c>
      <c r="H3" t="s">
        <v>148</v>
      </c>
    </row>
    <row r="4" spans="1:8" x14ac:dyDescent="0.35">
      <c r="A4">
        <v>2</v>
      </c>
      <c r="B4" t="s">
        <v>0</v>
      </c>
      <c r="C4" t="s">
        <v>27</v>
      </c>
      <c r="D4" t="s">
        <v>11</v>
      </c>
      <c r="E4" t="s">
        <v>44</v>
      </c>
      <c r="G4" t="s">
        <v>162</v>
      </c>
      <c r="H4" t="s">
        <v>147</v>
      </c>
    </row>
    <row r="5" spans="1:8" x14ac:dyDescent="0.35">
      <c r="A5">
        <v>3</v>
      </c>
      <c r="B5" t="s">
        <v>5</v>
      </c>
      <c r="C5" t="s">
        <v>28</v>
      </c>
      <c r="D5" t="s">
        <v>12</v>
      </c>
      <c r="E5" t="s">
        <v>45</v>
      </c>
      <c r="G5" t="s">
        <v>163</v>
      </c>
      <c r="H5" t="s">
        <v>158</v>
      </c>
    </row>
    <row r="6" spans="1:8" x14ac:dyDescent="0.35">
      <c r="A6">
        <v>4</v>
      </c>
      <c r="B6" t="s">
        <v>38</v>
      </c>
      <c r="C6" t="s">
        <v>29</v>
      </c>
      <c r="D6" t="s">
        <v>13</v>
      </c>
      <c r="E6" t="s">
        <v>46</v>
      </c>
      <c r="G6" t="s">
        <v>164</v>
      </c>
      <c r="H6" t="s">
        <v>156</v>
      </c>
    </row>
    <row r="7" spans="1:8" x14ac:dyDescent="0.35">
      <c r="A7">
        <v>5</v>
      </c>
      <c r="C7" t="s">
        <v>15</v>
      </c>
      <c r="E7" t="s">
        <v>47</v>
      </c>
      <c r="G7" t="s">
        <v>165</v>
      </c>
      <c r="H7" t="s">
        <v>149</v>
      </c>
    </row>
    <row r="8" spans="1:8" x14ac:dyDescent="0.35">
      <c r="A8">
        <v>6</v>
      </c>
      <c r="C8" t="s">
        <v>30</v>
      </c>
      <c r="E8" t="s">
        <v>48</v>
      </c>
      <c r="G8" t="s">
        <v>166</v>
      </c>
      <c r="H8" t="s">
        <v>152</v>
      </c>
    </row>
    <row r="9" spans="1:8" x14ac:dyDescent="0.35">
      <c r="A9">
        <v>7</v>
      </c>
      <c r="C9" t="s">
        <v>31</v>
      </c>
      <c r="E9" t="s">
        <v>49</v>
      </c>
      <c r="G9" t="s">
        <v>167</v>
      </c>
      <c r="H9" t="s">
        <v>159</v>
      </c>
    </row>
    <row r="10" spans="1:8" x14ac:dyDescent="0.35">
      <c r="A10">
        <v>8</v>
      </c>
      <c r="C10" t="s">
        <v>19</v>
      </c>
      <c r="E10" t="s">
        <v>53</v>
      </c>
      <c r="G10" t="s">
        <v>168</v>
      </c>
      <c r="H10" t="s">
        <v>157</v>
      </c>
    </row>
    <row r="11" spans="1:8" x14ac:dyDescent="0.35">
      <c r="A11">
        <v>9</v>
      </c>
      <c r="C11" t="s">
        <v>20</v>
      </c>
      <c r="E11" t="s">
        <v>50</v>
      </c>
      <c r="G11" t="s">
        <v>169</v>
      </c>
      <c r="H11" t="s">
        <v>155</v>
      </c>
    </row>
    <row r="12" spans="1:8" x14ac:dyDescent="0.35">
      <c r="A12">
        <v>10</v>
      </c>
      <c r="C12" t="s">
        <v>32</v>
      </c>
      <c r="E12" t="s">
        <v>51</v>
      </c>
      <c r="G12" t="s">
        <v>170</v>
      </c>
      <c r="H12" t="s">
        <v>144</v>
      </c>
    </row>
    <row r="13" spans="1:8" x14ac:dyDescent="0.35">
      <c r="C13" t="s">
        <v>17</v>
      </c>
      <c r="E13" t="s">
        <v>52</v>
      </c>
      <c r="G13" t="s">
        <v>171</v>
      </c>
      <c r="H13" t="s">
        <v>142</v>
      </c>
    </row>
    <row r="14" spans="1:8" x14ac:dyDescent="0.35">
      <c r="C14" t="s">
        <v>33</v>
      </c>
      <c r="G14" t="s">
        <v>172</v>
      </c>
      <c r="H14" t="s">
        <v>139</v>
      </c>
    </row>
    <row r="15" spans="1:8" x14ac:dyDescent="0.35">
      <c r="C15" t="s">
        <v>23</v>
      </c>
      <c r="G15" t="s">
        <v>173</v>
      </c>
      <c r="H15" t="s">
        <v>143</v>
      </c>
    </row>
    <row r="16" spans="1:8" x14ac:dyDescent="0.35">
      <c r="C16" t="s">
        <v>34</v>
      </c>
      <c r="G16" t="s">
        <v>174</v>
      </c>
      <c r="H16" t="s">
        <v>146</v>
      </c>
    </row>
    <row r="17" spans="3:8" x14ac:dyDescent="0.35">
      <c r="C17" t="s">
        <v>24</v>
      </c>
      <c r="G17" t="s">
        <v>175</v>
      </c>
      <c r="H17" t="s">
        <v>150</v>
      </c>
    </row>
    <row r="18" spans="3:8" x14ac:dyDescent="0.35">
      <c r="C18" t="s">
        <v>16</v>
      </c>
      <c r="G18" t="s">
        <v>176</v>
      </c>
      <c r="H18" t="s">
        <v>145</v>
      </c>
    </row>
    <row r="19" spans="3:8" x14ac:dyDescent="0.35">
      <c r="C19" t="s">
        <v>1</v>
      </c>
      <c r="G19" t="s">
        <v>177</v>
      </c>
      <c r="H19" t="s">
        <v>141</v>
      </c>
    </row>
    <row r="20" spans="3:8" x14ac:dyDescent="0.35">
      <c r="C20" t="s">
        <v>35</v>
      </c>
      <c r="G20" t="s">
        <v>178</v>
      </c>
      <c r="H20" t="s">
        <v>140</v>
      </c>
    </row>
    <row r="21" spans="3:8" x14ac:dyDescent="0.35">
      <c r="C21" t="s">
        <v>36</v>
      </c>
      <c r="G21" t="s">
        <v>136</v>
      </c>
      <c r="H21" t="s">
        <v>154</v>
      </c>
    </row>
    <row r="22" spans="3:8" x14ac:dyDescent="0.35">
      <c r="C22" t="s">
        <v>25</v>
      </c>
    </row>
    <row r="23" spans="3:8" x14ac:dyDescent="0.35">
      <c r="C23" t="s">
        <v>21</v>
      </c>
    </row>
    <row r="24" spans="3:8" x14ac:dyDescent="0.35">
      <c r="C24" t="s">
        <v>22</v>
      </c>
    </row>
    <row r="25" spans="3:8" x14ac:dyDescent="0.35">
      <c r="C25" t="s">
        <v>18</v>
      </c>
    </row>
    <row r="26" spans="3:8" x14ac:dyDescent="0.35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Normal="100" workbookViewId="0">
      <selection activeCell="E19" sqref="E19"/>
    </sheetView>
  </sheetViews>
  <sheetFormatPr baseColWidth="10" defaultColWidth="11.453125" defaultRowHeight="14.5" x14ac:dyDescent="0.35"/>
  <cols>
    <col min="1" max="15" width="11.453125" style="3" customWidth="1"/>
    <col min="16" max="16384" width="11.453125" style="3"/>
  </cols>
  <sheetData>
    <row r="1" spans="2:13" ht="16" customHeight="1" x14ac:dyDescent="0.35"/>
    <row r="2" spans="2:13" ht="18" customHeight="1" x14ac:dyDescent="0.35">
      <c r="B2" s="6"/>
      <c r="H2" s="7"/>
    </row>
    <row r="3" spans="2:13" ht="16" customHeight="1" x14ac:dyDescent="0.35">
      <c r="B3" s="8"/>
      <c r="C3" s="9"/>
    </row>
    <row r="4" spans="2:13" ht="16" customHeight="1" x14ac:dyDescent="0.35"/>
    <row r="5" spans="2:13" ht="16" customHeight="1" x14ac:dyDescent="0.35"/>
    <row r="6" spans="2:13" ht="16" customHeight="1" x14ac:dyDescent="0.35">
      <c r="F6" s="10"/>
    </row>
    <row r="7" spans="2:13" ht="16" customHeight="1" x14ac:dyDescent="0.35"/>
    <row r="8" spans="2:13" ht="16" customHeight="1" x14ac:dyDescent="0.35"/>
    <row r="9" spans="2:13" ht="16" customHeight="1" x14ac:dyDescent="0.35">
      <c r="F9" s="11"/>
    </row>
    <row r="10" spans="2:13" ht="16" customHeight="1" x14ac:dyDescent="0.35"/>
    <row r="11" spans="2:13" ht="16" customHeight="1" x14ac:dyDescent="0.35"/>
    <row r="12" spans="2:13" ht="16" customHeight="1" x14ac:dyDescent="0.35"/>
    <row r="13" spans="2:13" ht="16" customHeight="1" x14ac:dyDescent="0.35"/>
    <row r="14" spans="2:13" ht="16" customHeight="1" x14ac:dyDescent="0.35"/>
    <row r="15" spans="2:13" ht="16" customHeight="1" x14ac:dyDescent="0.35"/>
    <row r="16" spans="2:13" ht="16" customHeight="1" x14ac:dyDescent="0.5">
      <c r="H16" s="12"/>
      <c r="I16" s="13"/>
      <c r="J16" s="12"/>
      <c r="K16" s="12"/>
      <c r="L16" s="14"/>
      <c r="M16" s="14"/>
    </row>
    <row r="17" spans="8:11" ht="16" customHeight="1" x14ac:dyDescent="0.6">
      <c r="H17" s="12"/>
      <c r="I17" s="12"/>
      <c r="J17" s="12"/>
      <c r="K17" s="15"/>
    </row>
    <row r="18" spans="8:11" ht="16" customHeight="1" x14ac:dyDescent="0.35"/>
    <row r="19" spans="8:11" ht="16" customHeight="1" x14ac:dyDescent="0.35"/>
    <row r="20" spans="8:11" ht="16" customHeight="1" x14ac:dyDescent="0.35"/>
    <row r="21" spans="8:11" ht="16" customHeight="1" x14ac:dyDescent="0.35"/>
    <row r="22" spans="8:11" ht="16" customHeight="1" x14ac:dyDescent="0.35"/>
    <row r="23" spans="8:11" ht="14.5" customHeight="1" x14ac:dyDescent="0.35"/>
    <row r="24" spans="8:11" ht="14.5" customHeight="1" x14ac:dyDescent="0.35"/>
    <row r="25" spans="8:11" ht="14.5" customHeight="1" x14ac:dyDescent="0.35"/>
    <row r="26" spans="8:11" ht="14.5" customHeight="1" x14ac:dyDescent="0.35"/>
    <row r="27" spans="8:11" ht="14.5" customHeight="1" x14ac:dyDescent="0.35"/>
    <row r="28" spans="8:11" ht="14.5" customHeight="1" x14ac:dyDescent="0.35"/>
    <row r="29" spans="8:11" ht="14.5" customHeight="1" x14ac:dyDescent="0.35"/>
    <row r="30" spans="8:11" ht="14.5" customHeight="1" x14ac:dyDescent="0.35"/>
    <row r="31" spans="8:11" ht="14.5" customHeight="1" x14ac:dyDescent="0.35"/>
    <row r="32" spans="8:11" ht="14.5" customHeight="1" x14ac:dyDescent="0.35"/>
    <row r="33" s="3" customFormat="1" ht="14.5" customHeight="1" x14ac:dyDescent="0.35"/>
    <row r="34" s="3" customFormat="1" ht="14.5" customHeight="1" x14ac:dyDescent="0.35"/>
    <row r="35" s="3" customFormat="1" ht="14.5" customHeight="1" x14ac:dyDescent="0.35"/>
    <row r="36" s="3" customFormat="1" ht="14.5" customHeight="1" x14ac:dyDescent="0.35"/>
    <row r="37" s="3" customFormat="1" ht="14.5" customHeight="1" x14ac:dyDescent="0.35"/>
    <row r="38" s="3" customFormat="1" ht="14.5" customHeight="1" x14ac:dyDescent="0.35"/>
    <row r="39" s="3" customFormat="1" ht="14.5" customHeight="1" x14ac:dyDescent="0.35"/>
    <row r="40" s="3" customFormat="1" ht="14.5" customHeight="1" x14ac:dyDescent="0.35"/>
    <row r="41" s="3" customFormat="1" ht="14.5" customHeight="1" x14ac:dyDescent="0.35"/>
    <row r="42" s="3" customFormat="1" ht="14.5" customHeight="1" x14ac:dyDescent="0.35"/>
    <row r="43" s="3" customFormat="1" ht="14.5" customHeight="1" x14ac:dyDescent="0.35"/>
    <row r="44" s="3" customFormat="1" ht="14.5" customHeight="1" x14ac:dyDescent="0.35"/>
    <row r="45" s="3" customFormat="1" ht="14.5" customHeight="1" x14ac:dyDescent="0.3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2:BY30"/>
  <sheetViews>
    <sheetView workbookViewId="0">
      <selection activeCell="I6" sqref="I6"/>
    </sheetView>
  </sheetViews>
  <sheetFormatPr baseColWidth="10" defaultRowHeight="14.5" x14ac:dyDescent="0.35"/>
  <cols>
    <col min="1" max="1" width="23.7265625" customWidth="1"/>
    <col min="2" max="2" width="35.81640625" customWidth="1"/>
    <col min="4" max="4" width="7.81640625" customWidth="1"/>
    <col min="5" max="5" width="14.453125" customWidth="1"/>
    <col min="8" max="8" width="18" customWidth="1"/>
    <col min="10" max="10" width="15.54296875" customWidth="1"/>
  </cols>
  <sheetData>
    <row r="2" spans="1:77" ht="15" thickBot="1" x14ac:dyDescent="0.4"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 s="17" customFormat="1" ht="39" customHeight="1" x14ac:dyDescent="0.35">
      <c r="B3" s="41" t="str">
        <f>"Vous avez selectionné "&amp; ROUND(I5,0) &amp;" équipements sur 36 proposés."</f>
        <v>Vous avez selectionné 9 équipements sur 36 proposés.</v>
      </c>
      <c r="H3" s="18" t="s">
        <v>182</v>
      </c>
      <c r="I3" s="19" t="s">
        <v>183</v>
      </c>
      <c r="J3" s="20" t="s">
        <v>184</v>
      </c>
    </row>
    <row r="4" spans="1:77" s="17" customFormat="1" ht="47.25" customHeight="1" x14ac:dyDescent="0.35">
      <c r="B4" s="42" t="str">
        <f>"Len moyenne, une nuit dans un Airbnb dans le  "&amp;I8&amp;" arrondissement vaut : "</f>
        <v xml:space="preserve">Len moyenne, une nuit dans un Airbnb dans le  5eme arrondissement vaut : </v>
      </c>
      <c r="E4" s="17" t="s">
        <v>180</v>
      </c>
      <c r="H4" s="21" t="s">
        <v>54</v>
      </c>
      <c r="I4" s="22">
        <v>182.14</v>
      </c>
      <c r="J4" s="23" t="str">
        <f>ROUND(I4,2) &amp; "$"</f>
        <v>182,14$</v>
      </c>
    </row>
    <row r="5" spans="1:77" ht="15" thickBot="1" x14ac:dyDescent="0.4">
      <c r="B5" s="43" t="str">
        <f>IF(I5=0,"équipement",IF(I5=1,"équipement","équipements"))</f>
        <v>équipements</v>
      </c>
      <c r="H5" s="24" t="s">
        <v>137</v>
      </c>
      <c r="I5" s="25">
        <f>Data!B5</f>
        <v>9</v>
      </c>
      <c r="J5" s="26"/>
    </row>
    <row r="6" spans="1:77" x14ac:dyDescent="0.35">
      <c r="H6" s="24" t="s">
        <v>133</v>
      </c>
      <c r="I6" s="27">
        <v>165.06</v>
      </c>
      <c r="J6" s="26" t="str">
        <f>I6&amp;" $"</f>
        <v>165,06 $</v>
      </c>
    </row>
    <row r="7" spans="1:77" x14ac:dyDescent="0.35">
      <c r="H7" s="21" t="s">
        <v>134</v>
      </c>
      <c r="I7" s="28">
        <v>201</v>
      </c>
      <c r="J7" s="23" t="str">
        <f>I7&amp;" $"</f>
        <v>201 $</v>
      </c>
    </row>
    <row r="8" spans="1:77" x14ac:dyDescent="0.35">
      <c r="H8" s="21" t="s">
        <v>135</v>
      </c>
      <c r="I8" s="29" t="s">
        <v>164</v>
      </c>
      <c r="J8" s="30"/>
    </row>
    <row r="9" spans="1:77" ht="15" thickBot="1" x14ac:dyDescent="0.4">
      <c r="H9" s="21" t="s">
        <v>181</v>
      </c>
      <c r="I9" s="29">
        <f>E11+E12+E13+E14+E15+E16+E17+E18+E19+E20+E21+E22+E23+E24+E25+E26+E27+E28+E29+E30</f>
        <v>217.51</v>
      </c>
      <c r="J9" s="23" t="str">
        <f>I9&amp;" $"</f>
        <v>217,51 $</v>
      </c>
    </row>
    <row r="10" spans="1:77" x14ac:dyDescent="0.35">
      <c r="A10" s="31" t="s">
        <v>138</v>
      </c>
      <c r="B10" s="32" t="s">
        <v>153</v>
      </c>
      <c r="C10" s="33" t="s">
        <v>185</v>
      </c>
      <c r="D10" s="33" t="s">
        <v>186</v>
      </c>
      <c r="E10" s="34"/>
    </row>
    <row r="11" spans="1:77" x14ac:dyDescent="0.35">
      <c r="A11" s="35" t="s">
        <v>154</v>
      </c>
      <c r="B11" s="36" t="s">
        <v>187</v>
      </c>
      <c r="C11" s="36">
        <v>1</v>
      </c>
      <c r="D11" s="36" t="s">
        <v>136</v>
      </c>
      <c r="E11" s="37">
        <f>IF(I8=D11,B11,0)</f>
        <v>0</v>
      </c>
    </row>
    <row r="12" spans="1:77" x14ac:dyDescent="0.35">
      <c r="A12" s="35" t="s">
        <v>139</v>
      </c>
      <c r="B12" s="36" t="s">
        <v>188</v>
      </c>
      <c r="C12" s="36">
        <v>2</v>
      </c>
      <c r="D12" s="36" t="s">
        <v>172</v>
      </c>
      <c r="E12" s="37">
        <f>IF(I8=D12,B12,0)</f>
        <v>0</v>
      </c>
    </row>
    <row r="13" spans="1:77" x14ac:dyDescent="0.35">
      <c r="A13" s="35" t="s">
        <v>140</v>
      </c>
      <c r="B13" s="36" t="s">
        <v>189</v>
      </c>
      <c r="C13" s="36">
        <v>3</v>
      </c>
      <c r="D13" s="36" t="s">
        <v>178</v>
      </c>
      <c r="E13" s="37">
        <f>IF(I8=D13,B13,0)</f>
        <v>0</v>
      </c>
    </row>
    <row r="14" spans="1:77" x14ac:dyDescent="0.35">
      <c r="A14" s="35" t="s">
        <v>141</v>
      </c>
      <c r="B14" s="36" t="s">
        <v>190</v>
      </c>
      <c r="C14" s="36">
        <v>4</v>
      </c>
      <c r="D14" s="36" t="s">
        <v>177</v>
      </c>
      <c r="E14" s="37">
        <f>IF(I8=D14,B14,0)</f>
        <v>0</v>
      </c>
    </row>
    <row r="15" spans="1:77" x14ac:dyDescent="0.35">
      <c r="A15" s="35" t="s">
        <v>142</v>
      </c>
      <c r="B15" s="36" t="s">
        <v>191</v>
      </c>
      <c r="C15" s="36">
        <v>5</v>
      </c>
      <c r="D15" s="36" t="s">
        <v>171</v>
      </c>
      <c r="E15" s="37">
        <f>IF(I8=D15,B15,0)</f>
        <v>0</v>
      </c>
    </row>
    <row r="16" spans="1:77" x14ac:dyDescent="0.35">
      <c r="A16" s="35" t="s">
        <v>143</v>
      </c>
      <c r="B16" s="36" t="s">
        <v>192</v>
      </c>
      <c r="C16" s="36">
        <v>6</v>
      </c>
      <c r="D16" s="36" t="s">
        <v>173</v>
      </c>
      <c r="E16" s="37">
        <f>IF(I8=D16,B16,0)</f>
        <v>0</v>
      </c>
    </row>
    <row r="17" spans="1:5" x14ac:dyDescent="0.35">
      <c r="A17" s="35" t="s">
        <v>144</v>
      </c>
      <c r="B17" s="36" t="s">
        <v>193</v>
      </c>
      <c r="C17" s="36">
        <v>7</v>
      </c>
      <c r="D17" s="36" t="s">
        <v>170</v>
      </c>
      <c r="E17" s="37">
        <f>IF(I8=D17,B17,0)</f>
        <v>0</v>
      </c>
    </row>
    <row r="18" spans="1:5" x14ac:dyDescent="0.35">
      <c r="A18" s="35" t="s">
        <v>155</v>
      </c>
      <c r="B18" s="36" t="s">
        <v>194</v>
      </c>
      <c r="C18" s="36">
        <v>8</v>
      </c>
      <c r="D18" s="36" t="s">
        <v>169</v>
      </c>
      <c r="E18" s="37">
        <f>IF(I8=D18,B18,0)</f>
        <v>0</v>
      </c>
    </row>
    <row r="19" spans="1:5" x14ac:dyDescent="0.35">
      <c r="A19" s="35" t="s">
        <v>145</v>
      </c>
      <c r="B19" s="36" t="s">
        <v>195</v>
      </c>
      <c r="C19" s="36">
        <v>9</v>
      </c>
      <c r="D19" s="36" t="s">
        <v>176</v>
      </c>
      <c r="E19" s="37">
        <f>IF(I8=D19,B19,0)</f>
        <v>0</v>
      </c>
    </row>
    <row r="20" spans="1:5" x14ac:dyDescent="0.35">
      <c r="A20" s="35" t="s">
        <v>146</v>
      </c>
      <c r="B20" s="36" t="s">
        <v>196</v>
      </c>
      <c r="C20" s="36">
        <v>10</v>
      </c>
      <c r="D20" s="36" t="s">
        <v>174</v>
      </c>
      <c r="E20" s="37">
        <f>IF(I8=D20,B20,0)</f>
        <v>0</v>
      </c>
    </row>
    <row r="21" spans="1:5" x14ac:dyDescent="0.35">
      <c r="A21" s="35" t="s">
        <v>156</v>
      </c>
      <c r="B21" s="36" t="s">
        <v>197</v>
      </c>
      <c r="C21" s="36">
        <v>11</v>
      </c>
      <c r="D21" s="36" t="s">
        <v>164</v>
      </c>
      <c r="E21" s="37" t="str">
        <f>IF(I8=D21,B21,0)</f>
        <v>217,51</v>
      </c>
    </row>
    <row r="22" spans="1:5" x14ac:dyDescent="0.35">
      <c r="A22" s="35" t="s">
        <v>157</v>
      </c>
      <c r="B22" s="36" t="s">
        <v>198</v>
      </c>
      <c r="C22" s="36">
        <v>12</v>
      </c>
      <c r="D22" s="36" t="s">
        <v>168</v>
      </c>
      <c r="E22" s="37">
        <f>IF(I8=D22,B22,0)</f>
        <v>0</v>
      </c>
    </row>
    <row r="23" spans="1:5" x14ac:dyDescent="0.35">
      <c r="A23" s="35" t="s">
        <v>147</v>
      </c>
      <c r="B23" s="36" t="s">
        <v>199</v>
      </c>
      <c r="C23" s="36">
        <v>13</v>
      </c>
      <c r="D23" s="36" t="s">
        <v>162</v>
      </c>
      <c r="E23" s="37">
        <f>IF(I8=D23,B23,0)</f>
        <v>0</v>
      </c>
    </row>
    <row r="24" spans="1:5" x14ac:dyDescent="0.35">
      <c r="A24" s="35" t="s">
        <v>158</v>
      </c>
      <c r="B24" s="36" t="s">
        <v>200</v>
      </c>
      <c r="C24" s="36">
        <v>14</v>
      </c>
      <c r="D24" s="36" t="s">
        <v>163</v>
      </c>
      <c r="E24" s="37">
        <f>IF(I8=D24,B24,0)</f>
        <v>0</v>
      </c>
    </row>
    <row r="25" spans="1:5" x14ac:dyDescent="0.35">
      <c r="A25" s="35" t="s">
        <v>148</v>
      </c>
      <c r="B25" s="36" t="s">
        <v>201</v>
      </c>
      <c r="C25" s="36">
        <v>15</v>
      </c>
      <c r="D25" s="36" t="s">
        <v>161</v>
      </c>
      <c r="E25" s="37">
        <f>IF(I8=D25,B25,0)</f>
        <v>0</v>
      </c>
    </row>
    <row r="26" spans="1:5" x14ac:dyDescent="0.35">
      <c r="A26" s="35" t="s">
        <v>149</v>
      </c>
      <c r="B26" s="36" t="s">
        <v>202</v>
      </c>
      <c r="C26" s="36">
        <v>16</v>
      </c>
      <c r="D26" s="36" t="s">
        <v>165</v>
      </c>
      <c r="E26" s="37">
        <f>IF(I8=D26,B26,0)</f>
        <v>0</v>
      </c>
    </row>
    <row r="27" spans="1:5" x14ac:dyDescent="0.35">
      <c r="A27" s="35" t="s">
        <v>150</v>
      </c>
      <c r="B27" s="36" t="s">
        <v>203</v>
      </c>
      <c r="C27" s="36">
        <v>17</v>
      </c>
      <c r="D27" s="36" t="s">
        <v>175</v>
      </c>
      <c r="E27" s="37">
        <f>IF(I8=D27,B27,0)</f>
        <v>0</v>
      </c>
    </row>
    <row r="28" spans="1:5" x14ac:dyDescent="0.35">
      <c r="A28" s="35" t="s">
        <v>151</v>
      </c>
      <c r="B28" s="36" t="s">
        <v>204</v>
      </c>
      <c r="C28" s="36">
        <v>18</v>
      </c>
      <c r="D28" s="36" t="s">
        <v>40</v>
      </c>
      <c r="E28" s="37">
        <f>IF(I8=D28,B28,0)</f>
        <v>0</v>
      </c>
    </row>
    <row r="29" spans="1:5" x14ac:dyDescent="0.35">
      <c r="A29" s="35" t="s">
        <v>152</v>
      </c>
      <c r="B29" s="36" t="s">
        <v>205</v>
      </c>
      <c r="C29" s="36">
        <v>19</v>
      </c>
      <c r="D29" s="36" t="s">
        <v>166</v>
      </c>
      <c r="E29" s="37">
        <f>IF(I8=D29,B29,0)</f>
        <v>0</v>
      </c>
    </row>
    <row r="30" spans="1:5" ht="15" thickBot="1" x14ac:dyDescent="0.4">
      <c r="A30" s="38" t="s">
        <v>159</v>
      </c>
      <c r="B30" s="39" t="s">
        <v>206</v>
      </c>
      <c r="C30" s="39">
        <v>20</v>
      </c>
      <c r="D30" s="39" t="s">
        <v>167</v>
      </c>
      <c r="E30" s="40">
        <f>IF(I8=D30,B30,0)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Data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2023-12-14T09:12:51Z</dcterms:modified>
</cp:coreProperties>
</file>