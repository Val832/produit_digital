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C7F5142D-1E4B-4E41-94BC-D44F0D1644F0}" xr6:coauthVersionLast="47" xr6:coauthVersionMax="47" xr10:uidLastSave="{00000000-0000-0000-0000-000000000000}"/>
  <bookViews>
    <workbookView minimized="1" xWindow="0" yWindow="0" windowWidth="19200" windowHeight="11715" activeTab="2" xr2:uid="{D0BD4728-227B-4C76-9119-CEA83803AF99}"/>
  </bookViews>
  <sheets>
    <sheet name="Bienvenue" sheetId="5" r:id="rId1"/>
    <sheet name="empty" sheetId="6" state="hidden" r:id="rId2"/>
    <sheet name="Donnees" sheetId="4" r:id="rId3"/>
    <sheet name="tableauFormulaire " sheetId="3" r:id="rId4"/>
    <sheet name="Estimation" sheetId="1" r:id="rId5"/>
    <sheet name="Traitement" sheetId="7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2" i="4" l="1"/>
  <c r="AU2" i="4"/>
  <c r="AV2" i="4"/>
  <c r="AW2" i="4"/>
  <c r="AX2" i="4"/>
  <c r="AY2" i="4"/>
  <c r="AZ2" i="4"/>
  <c r="BA2" i="4"/>
  <c r="BB2" i="4"/>
  <c r="BC2" i="4"/>
  <c r="BD2" i="4"/>
  <c r="BE2" i="4"/>
  <c r="BF2" i="4"/>
  <c r="BG2" i="4"/>
  <c r="BH2" i="4"/>
  <c r="BI2" i="4"/>
  <c r="BJ2" i="4"/>
  <c r="BK2" i="4"/>
  <c r="BL2" i="4"/>
  <c r="AS2" i="4"/>
  <c r="B3" i="7" a="1"/>
  <c r="B3" i="7" s="1"/>
  <c r="D3" i="7" s="1"/>
  <c r="D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<sst xmlns="http://schemas.openxmlformats.org/spreadsheetml/2006/main" count="158" uniqueCount="158">
  <si>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</si>
  <si>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</si>
  <si>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</si>
  <si>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</si>
  <si>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</si>
  <si>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</si>
  <si>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</si>
  <si>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</si>
  <si>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</si>
  <si>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</si>
  <si>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</si>
  <si>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</si>
  <si>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</si>
  <si>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</si>
  <si>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</si>
  <si>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</si>
  <si>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</si>
  <si>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</si>
  <si>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</si>
  <si>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</si>
  <si>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</si>
  <si>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</si>
  <si>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</si>
  <si>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</si>
  <si>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</si>
  <si>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</si>
  <si>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</si>
  <si>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</si>
  <si>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</si>
  <si>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</si>
  <si>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</si>
  <si>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</si>
  <si>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</si>
  <si>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</si>
  <si>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</si>
  <si>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</si>
  <si>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</si>
  <si>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</si>
  <si>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</si>
  <si>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</si>
  <si>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2ème</t>
  </si>
  <si>
    <t>1er</t>
  </si>
  <si>
    <t>3ème</t>
  </si>
  <si>
    <t>4ème</t>
  </si>
  <si>
    <t>5ème</t>
  </si>
  <si>
    <t>6ème</t>
  </si>
  <si>
    <t>7ème</t>
  </si>
  <si>
    <t>8ème</t>
  </si>
  <si>
    <t>9ème</t>
  </si>
  <si>
    <t>10ème</t>
  </si>
  <si>
    <t>11ème</t>
  </si>
  <si>
    <t>12ème</t>
  </si>
  <si>
    <t>13ème</t>
  </si>
  <si>
    <t>14ème</t>
  </si>
  <si>
    <t>15ème</t>
  </si>
  <si>
    <t>16ème</t>
  </si>
  <si>
    <t>17ème</t>
  </si>
  <si>
    <t>18ème</t>
  </si>
  <si>
    <t>19ème</t>
  </si>
  <si>
    <t>20ème</t>
  </si>
  <si>
    <t xml:space="preserve">Vous souhaitez faire de la location courte durée avec votre bien immobilier à Paris, mais vous ne savez pas comment vous y prendre ? </t>
  </si>
  <si>
    <t xml:space="preserve">Pas de panique ! </t>
  </si>
  <si>
    <r>
      <t xml:space="preserve">Cliquez sur le </t>
    </r>
    <r>
      <rPr>
        <b/>
        <sz val="14"/>
        <color theme="1"/>
        <rFont val="Tahoma"/>
        <family val="2"/>
      </rPr>
      <t>bouton juste en dessous</t>
    </r>
    <r>
      <rPr>
        <sz val="14"/>
        <color theme="1"/>
        <rFont val="Tahoma"/>
        <family val="2"/>
      </rPr>
      <t>, et on vous aide à trouver le</t>
    </r>
    <r>
      <rPr>
        <b/>
        <sz val="14"/>
        <color theme="1"/>
        <rFont val="Tahoma"/>
        <family val="2"/>
      </rPr>
      <t xml:space="preserve"> juste prix! </t>
    </r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</si>
  <si>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</si>
  <si>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</si>
  <si>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</si>
  <si>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</si>
  <si>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</si>
  <si>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</si>
  <si>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</si>
  <si>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</si>
  <si>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</si>
  <si>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</si>
  <si>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</si>
  <si>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</si>
  <si>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</si>
  <si>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</si>
  <si>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phrase</t>
  </si>
  <si>
    <t>moyenne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</si>
  <si>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</si>
  <si>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</si>
  <si>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</si>
  <si>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</si>
  <si>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</si>
  <si>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</si>
  <si>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</si>
  <si>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</si>
  <si>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</si>
  <si>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</si>
  <si>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</si>
  <si>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</si>
  <si>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</si>
  <si>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</si>
  <si>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</si>
  <si>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</si>
  <si>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</si>
  <si>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</si>
  <si>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Dishes and sliverware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</si>
  <si>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</si>
  <si>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</si>
  <si>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</si>
  <si>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</si>
  <si>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</si>
  <si>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</si>
  <si>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</si>
  <si>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</si>
  <si>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</si>
  <si>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</si>
  <si>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</si>
  <si>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</si>
  <si>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</si>
  <si>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</si>
  <si>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</si>
  <si>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</si>
  <si>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accommodates_squaret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</si>
  <si>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</si>
  <si>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</si>
  <si>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</si>
  <si>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</si>
  <si>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</si>
  <si>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</si>
  <si>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</si>
  <si>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</si>
  <si>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</si>
  <si>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</si>
  <si>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</si>
  <si>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</si>
  <si>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</si>
  <si>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</si>
  <si>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</si>
  <si>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</si>
  <si>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</si>
  <si>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</si>
  <si>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neighbourhood_cleansed_Elysée</t>
  </si>
  <si>
    <t>property_type_Entire condo</t>
  </si>
  <si>
    <t>property_type_Entire unit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</si>
  <si>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</si>
  <si>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</si>
  <si>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</si>
  <si>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</si>
  <si>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</si>
  <si>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</si>
  <si>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</si>
  <si>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</si>
  <si>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</si>
  <si>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</si>
  <si>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</si>
  <si>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</si>
  <si>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</si>
  <si>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</si>
  <si>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bed_squared</t>
  </si>
  <si>
    <t>bedrooms_squared</t>
  </si>
  <si>
    <t>bathrooms_squared</t>
  </si>
  <si>
    <t>neighbourhood_cleansed_Buttes-Chaumont</t>
  </si>
  <si>
    <t>property_type_Entire serviced apartement</t>
  </si>
  <si>
    <t>6</t>
  </si>
  <si>
    <t>2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</si>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</sst>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b/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8"/>
      <color rgb="FF000000"/>
      <name val="Inherit"/>
    </font>
    <font>
      <sz val="12"/>
      <color theme="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9F6E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9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/>
    <xf numFmtId="2" fontId="6" fillId="2" borderId="0" xfId="0" applyNumberFormat="1" applyFont="1" applyFill="1"/>
    <xf numFmtId="0" fontId="5" fillId="2" borderId="0" xfId="0" applyFont="1" applyFill="1"/>
    <xf numFmtId="2" fontId="7" fillId="2" borderId="0" xfId="0" applyNumberFormat="1" applyFont="1" applyFill="1"/>
    <xf numFmtId="0" fontId="9" fillId="2" borderId="0" xfId="0" applyFont="1" applyFill="1" applyAlignment="1">
      <alignment vertical="top"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761999</xdr:colOff>
      <xdr:row>3</xdr:row>
      <xdr:rowOff>679794</xdr:rowOff>
    </xdr:from>
    <xdr:to>
      <xdr:col>11</xdr:col>
      <xdr:colOff>365124</xdr:colOff>
      <xdr:row>16</xdr:row>
      <xdr:rowOff>140782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7800974" y="1251294"/>
          <a:ext cx="3413125" cy="2737588"/>
        </a:xfrm>
        <a:prstGeom prst="rect">
          <a:avLst/>
        </a:prstGeom>
      </xdr:spPr>
    </xdr:pic>
    <xdr:clientData/>
  </xdr:twoCellAnchor>
  <xdr:twoCellAnchor>
    <xdr:from>
      <xdr:col>1</xdr:col>
      <xdr:colOff>450850</xdr:colOff>
      <xdr:row>10</xdr:row>
      <xdr:rowOff>172335</xdr:rowOff>
    </xdr:from>
    <xdr:to>
      <xdr:col>5</xdr:col>
      <xdr:colOff>242232</xdr:colOff>
      <xdr:row>16</xdr:row>
      <xdr:rowOff>180043</xdr:rowOff>
    </xdr:to>
    <xdr:sp macro="[0]!ExecuteAllTask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250950" y="2794885"/>
          <a:ext cx="5569882" cy="1112608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Estimer</a:t>
          </a:r>
          <a:r>
            <a:rPr lang="fr-FR" sz="20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le prix d'une nuit dans mon bien à Paris, sur AirBNB</a:t>
          </a:r>
          <a:endParaRPr lang="fr-FR" sz="20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</xdr:col>
      <xdr:colOff>4305299</xdr:colOff>
      <xdr:row>8</xdr:row>
      <xdr:rowOff>52457</xdr:rowOff>
    </xdr:from>
    <xdr:to>
      <xdr:col>5</xdr:col>
      <xdr:colOff>377488</xdr:colOff>
      <xdr:row>10</xdr:row>
      <xdr:rowOff>111125</xdr:rowOff>
    </xdr:to>
    <xdr:pic>
      <xdr:nvPicPr>
        <xdr:cNvPr id="6" name="Image 5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235699" y="2046357"/>
          <a:ext cx="720389" cy="687318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</xdr:colOff>
      <xdr:row>8</xdr:row>
      <xdr:rowOff>23882</xdr:rowOff>
    </xdr:from>
    <xdr:to>
      <xdr:col>3</xdr:col>
      <xdr:colOff>34923</xdr:colOff>
      <xdr:row>10</xdr:row>
      <xdr:rowOff>112057</xdr:rowOff>
    </xdr:to>
    <xdr:pic>
      <xdr:nvPicPr>
        <xdr:cNvPr id="7" name="Image 6" descr="Une image contenant noir, obscurité&#10;&#10;Description générée automatiquement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2347982"/>
          <a:ext cx="714373" cy="7295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0</xdr:rowOff>
        </xdr:from>
        <xdr:to>
          <xdr:col>6</xdr:col>
          <xdr:colOff>180975</xdr:colOff>
          <xdr:row>4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624957</xdr:colOff>
      <xdr:row>5</xdr:row>
      <xdr:rowOff>44284</xdr:rowOff>
    </xdr:from>
    <xdr:to>
      <xdr:col>13</xdr:col>
      <xdr:colOff>704850</xdr:colOff>
      <xdr:row>10</xdr:row>
      <xdr:rowOff>66674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97407" y="1060284"/>
          <a:ext cx="1565793" cy="103839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1" baseline="0"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1"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154763</xdr:colOff>
      <xdr:row>3</xdr:row>
      <xdr:rowOff>198975</xdr:rowOff>
    </xdr:from>
    <xdr:to>
      <xdr:col>10</xdr:col>
      <xdr:colOff>663355</xdr:colOff>
      <xdr:row>14</xdr:row>
      <xdr:rowOff>128326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72071" y="1099140"/>
          <a:ext cx="2916009" cy="2155340"/>
        </a:xfrm>
        <a:prstGeom prst="roundRect">
          <a:avLst>
            <a:gd name="adj" fmla="val 10122"/>
          </a:avLst>
        </a:prstGeom>
        <a:ln>
          <a:noFill/>
        </a:ln>
        <a:effectLst>
          <a:outerShdw blurRad="76200" dist="38100" dir="7800000" algn="tl" rotWithShape="0">
            <a:srgbClr val="000000">
              <a:alpha val="40000"/>
            </a:srgbClr>
          </a:outerShdw>
        </a:effectLst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127000</xdr:colOff>
      <xdr:row>1</xdr:row>
      <xdr:rowOff>419100</xdr:rowOff>
    </xdr:from>
    <xdr:to>
      <xdr:col>3</xdr:col>
      <xdr:colOff>565150</xdr:colOff>
      <xdr:row>7</xdr:row>
      <xdr:rowOff>44450</xdr:rowOff>
    </xdr:to>
    <xdr:sp macro="" textlink="Traitement!D2">
      <xdr:nvSpPr>
        <xdr:cNvPr id="5" name="Rectangle : coins arrondis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927100" y="622300"/>
          <a:ext cx="2038350" cy="1136650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843FC57-6DFC-4991-9759-AD19B6F7A10D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que nous vous recommandons est 101010 $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55823</xdr:colOff>
      <xdr:row>1</xdr:row>
      <xdr:rowOff>238508</xdr:rowOff>
    </xdr:from>
    <xdr:to>
      <xdr:col>10</xdr:col>
      <xdr:colOff>739671</xdr:colOff>
      <xdr:row>15</xdr:row>
      <xdr:rowOff>13957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5673131" y="440871"/>
          <a:ext cx="3091265" cy="2901602"/>
        </a:xfrm>
        <a:prstGeom prst="roundRect">
          <a:avLst>
            <a:gd name="adj" fmla="val 7443"/>
          </a:avLst>
        </a:prstGeom>
        <a:noFill/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La concurrence est rude dans certains quartiers …</a:t>
          </a:r>
        </a:p>
      </xdr:txBody>
    </xdr:sp>
    <xdr:clientData/>
  </xdr:twoCellAnchor>
  <xdr:twoCellAnchor>
    <xdr:from>
      <xdr:col>1</xdr:col>
      <xdr:colOff>64999</xdr:colOff>
      <xdr:row>8</xdr:row>
      <xdr:rowOff>77387</xdr:rowOff>
    </xdr:from>
    <xdr:to>
      <xdr:col>3</xdr:col>
      <xdr:colOff>655934</xdr:colOff>
      <xdr:row>13</xdr:row>
      <xdr:rowOff>201351</xdr:rowOff>
    </xdr:to>
    <xdr:sp macro="" textlink="Traitement!D3">
      <xdr:nvSpPr>
        <xdr:cNvPr id="13" name="Rectangle : coins arrondis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825603" y="1989365"/>
          <a:ext cx="2112144" cy="1135777"/>
        </a:xfrm>
        <a:prstGeom prst="roundRect">
          <a:avLst>
            <a:gd name="adj" fmla="val 17784"/>
          </a:avLst>
        </a:prstGeom>
        <a:solidFill>
          <a:srgbClr val="F1EABD"/>
        </a:solidFill>
        <a:ln w="19050"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26DB410-C1F5-41E9-84B9-ED514DFAEEE4}" type="TxLink">
            <a:rPr lang="en-US" sz="14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Le prix moyen dans le 6 arrondissement est 100 $</a:t>
          </a:fld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A1:BX3" totalsRowShown="0" dataDxfId="76">
  <autoFilter ref="A1:BX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li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/>
    <tableColumn id="75" xr3:uid="{2A16966E-4396-45E6-B918-7DF14A66E615}" name="Drying rack for clothing" dataDxfId="45"/>
    <tableColumn id="30" xr3:uid="{99E88F38-DC08-4488-A380-A12A7157E2FF}" name="Iron" dataDxfId="44"/>
    <tableColumn id="76" xr3:uid="{CE1B5C0C-7FEE-42ED-9409-138BEC61A1A3}" name="Free dryer" dataDxfId="43"/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/>
    <tableColumn id="38" xr3:uid="{B65FB4A3-20BC-4278-818F-828357D33835}" name="accommodates_squaret" dataDxfId="35"/>
    <tableColumn id="77" xr3:uid="{140663D3-3B8F-4448-9DE8-A9B8673DAE3A}" name="bedrooms_squared" dataDxfId="34"/>
    <tableColumn id="78" xr3:uid="{F8387F5F-B242-43ED-B190-657EEE3BA87D}" name="bathrooms_squared" dataDxfId="33"/>
    <tableColumn id="39" xr3:uid="{DC1AD785-6138-4546-B7C1-C9B771D27304}" name="bed_squared" dataDxfId="32"/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Elysée" dataDxfId="12"/>
    <tableColumn id="60" xr3:uid="{1E2709DB-E0F3-4F13-B52E-E727F1DB78F0}" name="property_type_Entire condo" dataDxfId="11"/>
    <tableColumn id="61" xr3:uid="{C5B48FD5-C531-40CB-800B-AA50EEE09889}" name="property_type_Entire unit" dataDxfId="10"/>
    <tableColumn id="62" xr3:uid="{8E75A02C-7A83-47F3-96DE-6949B8F8F2C9}" name="property_type_Entire serviced aparte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G21" totalsRowShown="0">
  <autoFilter ref="G1:G21" xr:uid="{7ECB73AA-3570-4780-BB9D-5476EF626FB4}"/>
  <tableColumns count="1">
    <tableColumn id="1" xr3:uid="{C6E353E7-B057-4A89-B40D-E1F43016DA1C}" name="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D19" sqref="D19"/>
    </sheetView>
  </sheetViews>
  <sheetFormatPr baseColWidth="10" defaultColWidth="11.42578125" defaultRowHeight="15"/>
  <cols>
    <col min="1" max="2" width="11.42578125" style="3"/>
    <col min="3" max="3" width="4.7109375" style="3" customWidth="1"/>
    <col min="4" max="4" width="61.85546875" style="3" customWidth="1"/>
    <col min="5" max="5" width="4.7109375" style="3" customWidth="1"/>
    <col min="6" max="16384" width="11.42578125" style="3"/>
  </cols>
  <sheetData>
    <row r="5" spans="4:4" ht="54">
      <c r="D5" s="2" t="s">
        <v>60</v>
      </c>
    </row>
    <row r="7" spans="4:4" ht="18">
      <c r="D7" s="4" t="s">
        <v>61</v>
      </c>
    </row>
    <row r="9" spans="4:4" ht="36">
      <c r="D9" s="5" t="s">
        <v>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UserForm">
                <anchor moveWithCells="1" sizeWithCells="1">
                  <from>
                    <xdr:col>4</xdr:col>
                    <xdr:colOff>114300</xdr:colOff>
                    <xdr:row>2</xdr:row>
                    <xdr:rowOff>0</xdr:rowOff>
                  </from>
                  <to>
                    <xdr:col>6</xdr:col>
                    <xdr:colOff>180975</xdr:colOff>
                    <xdr:row>4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"/>
  <sheetViews>
    <sheetView workbookViewId="0">
      <selection activeCell="D26" sqref="D26"/>
    </sheetView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X3"/>
  <sheetViews>
    <sheetView tabSelected="1" topLeftCell="BI1" workbookViewId="0">
      <selection activeCell="BM9" sqref="BM9"/>
    </sheetView>
  </sheetViews>
  <sheetFormatPr baseColWidth="10" defaultRowHeight="15"/>
  <cols>
    <col min="1" max="11" width="15.28515625" customWidth="1"/>
    <col min="76" max="76" width="11.7109375" customWidth="1"/>
  </cols>
  <sheetData>
    <row r="1" spans="1:76">
      <c r="A1" t="s">
        <v>145</v>
      </c>
      <c r="B1" t="s">
        <v>79</v>
      </c>
      <c r="C1" t="s">
        <v>80</v>
      </c>
      <c r="D1" t="s">
        <v>81</v>
      </c>
      <c r="E1" t="s">
        <v>83</v>
      </c>
      <c r="F1" t="s">
        <v>82</v>
      </c>
      <c r="G1" t="s">
        <v>84</v>
      </c>
      <c r="H1" t="s">
        <v>85</v>
      </c>
      <c r="I1" t="s">
        <v>86</v>
      </c>
      <c r="J1" t="s">
        <v>87</v>
      </c>
      <c r="K1" t="s">
        <v>88</v>
      </c>
      <c r="L1" t="s">
        <v>89</v>
      </c>
      <c r="M1" t="s">
        <v>90</v>
      </c>
      <c r="N1" t="s">
        <v>91</v>
      </c>
      <c r="O1" t="s">
        <v>92</v>
      </c>
      <c r="P1" t="s">
        <v>93</v>
      </c>
      <c r="Q1" t="s">
        <v>94</v>
      </c>
      <c r="R1" t="s">
        <v>95</v>
      </c>
      <c r="S1" t="s">
        <v>96</v>
      </c>
      <c r="T1" t="s">
        <v>146</v>
      </c>
      <c r="U1" t="s">
        <v>97</v>
      </c>
      <c r="V1" t="s">
        <v>98</v>
      </c>
      <c r="W1" t="s">
        <v>99</v>
      </c>
      <c r="X1" t="s">
        <v>100</v>
      </c>
      <c r="Y1" t="s">
        <v>101</v>
      </c>
      <c r="Z1" s="1" t="s">
        <v>102</v>
      </c>
      <c r="AA1" s="1" t="s">
        <v>103</v>
      </c>
      <c r="AB1" s="1" t="s">
        <v>104</v>
      </c>
      <c r="AC1" t="s">
        <v>105</v>
      </c>
      <c r="AD1" t="s">
        <v>147</v>
      </c>
      <c r="AE1" t="s">
        <v>148</v>
      </c>
      <c r="AF1" t="s">
        <v>106</v>
      </c>
      <c r="AG1" t="s">
        <v>149</v>
      </c>
      <c r="AH1" t="s">
        <v>107</v>
      </c>
      <c r="AI1" t="s">
        <v>108</v>
      </c>
      <c r="AJ1" t="s">
        <v>109</v>
      </c>
      <c r="AK1" t="s">
        <v>110</v>
      </c>
      <c r="AL1" t="s">
        <v>111</v>
      </c>
      <c r="AM1" t="s">
        <v>112</v>
      </c>
      <c r="AN1" t="s">
        <v>113</v>
      </c>
      <c r="AO1" t="s">
        <v>114</v>
      </c>
      <c r="AP1" t="s">
        <v>151</v>
      </c>
      <c r="AQ1" t="s">
        <v>152</v>
      </c>
      <c r="AR1" t="s">
        <v>150</v>
      </c>
      <c r="AS1" t="s">
        <v>115</v>
      </c>
      <c r="AT1" t="s">
        <v>116</v>
      </c>
      <c r="AU1" t="s">
        <v>153</v>
      </c>
      <c r="AV1" t="s">
        <v>117</v>
      </c>
      <c r="AW1" t="s">
        <v>118</v>
      </c>
      <c r="AX1" t="s">
        <v>119</v>
      </c>
      <c r="AY1" t="s">
        <v>120</v>
      </c>
      <c r="AZ1" t="s">
        <v>121</v>
      </c>
      <c r="BA1" t="s">
        <v>122</v>
      </c>
      <c r="BB1" t="s">
        <v>123</v>
      </c>
      <c r="BC1" t="s">
        <v>124</v>
      </c>
      <c r="BD1" t="s">
        <v>125</v>
      </c>
      <c r="BE1" t="s">
        <v>126</v>
      </c>
      <c r="BF1" t="s">
        <v>127</v>
      </c>
      <c r="BG1" t="s">
        <v>128</v>
      </c>
      <c r="BH1" t="s">
        <v>129</v>
      </c>
      <c r="BI1" t="s">
        <v>130</v>
      </c>
      <c r="BJ1" t="s">
        <v>132</v>
      </c>
      <c r="BK1" t="s">
        <v>131</v>
      </c>
      <c r="BL1" t="s">
        <v>133</v>
      </c>
      <c r="BM1" t="s">
        <v>134</v>
      </c>
      <c r="BN1" t="s">
        <v>135</v>
      </c>
      <c r="BO1" t="s">
        <v>154</v>
      </c>
      <c r="BP1" t="s">
        <v>136</v>
      </c>
      <c r="BQ1" t="s">
        <v>137</v>
      </c>
      <c r="BR1" t="s">
        <v>138</v>
      </c>
      <c r="BS1" t="s">
        <v>139</v>
      </c>
      <c r="BT1" t="s">
        <v>140</v>
      </c>
      <c r="BU1" t="s">
        <v>141</v>
      </c>
      <c r="BV1" t="s">
        <v>142</v>
      </c>
      <c r="BW1" t="s">
        <v>143</v>
      </c>
      <c r="BX1" t="s">
        <v>144</v>
      </c>
    </row>
    <row r="2" spans="1:76">
      <c r="A2" s="1" t="s">
        <v>156</v>
      </c>
      <c r="B2" s="1" t="s">
        <v>155</v>
      </c>
      <c r="C2" s="1" t="s">
        <v>157</v>
      </c>
      <c r="D2" s="1" t="b">
        <v>0</v>
      </c>
      <c r="E2" s="1" t="b">
        <v>0</v>
      </c>
      <c r="F2" s="1" t="b">
        <v>0</v>
      </c>
      <c r="G2" s="1"/>
      <c r="H2" s="1" t="b">
        <v>0</v>
      </c>
      <c r="I2" s="1"/>
      <c r="J2" s="1" t="b">
        <v>0</v>
      </c>
      <c r="K2" s="1" t="b">
        <v>0</v>
      </c>
      <c r="L2" s="1" t="b">
        <v>0</v>
      </c>
      <c r="M2" s="1" t="b">
        <v>0</v>
      </c>
      <c r="N2" s="1"/>
      <c r="O2" s="1"/>
      <c r="P2" s="1"/>
      <c r="Q2" s="1" t="b">
        <v>0</v>
      </c>
      <c r="R2" s="1"/>
      <c r="S2" s="1" t="b">
        <v>0</v>
      </c>
      <c r="T2" s="1" t="b">
        <v>1</v>
      </c>
      <c r="U2" s="1" t="b">
        <v>0</v>
      </c>
      <c r="V2" s="1" t="b">
        <v>0</v>
      </c>
      <c r="W2" s="1"/>
      <c r="X2" s="1"/>
      <c r="Y2" s="1"/>
      <c r="Z2" s="1" t="b">
        <v>0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>
        <f>IF(AS3=FALSE,0,1)</f>
        <v>0</v>
      </c>
      <c r="AT2" s="1">
        <f t="shared" ref="AT2:BL2" si="0">IF(AT3=FALSE,0,1)</f>
        <v>0</v>
      </c>
      <c r="AU2" s="1">
        <f t="shared" si="0"/>
        <v>0</v>
      </c>
      <c r="AV2" s="1">
        <f t="shared" si="0"/>
        <v>0</v>
      </c>
      <c r="AW2" s="1">
        <f t="shared" si="0"/>
        <v>0</v>
      </c>
      <c r="AX2" s="1">
        <f t="shared" si="0"/>
        <v>0</v>
      </c>
      <c r="AY2" s="1">
        <f t="shared" si="0"/>
        <v>0</v>
      </c>
      <c r="AZ2" s="1">
        <f t="shared" si="0"/>
        <v>0</v>
      </c>
      <c r="BA2" s="1">
        <f t="shared" si="0"/>
        <v>0</v>
      </c>
      <c r="BB2" s="1">
        <f t="shared" si="0"/>
        <v>1</v>
      </c>
      <c r="BC2" s="1">
        <f t="shared" si="0"/>
        <v>0</v>
      </c>
      <c r="BD2" s="1">
        <f t="shared" si="0"/>
        <v>0</v>
      </c>
      <c r="BE2" s="1">
        <f t="shared" si="0"/>
        <v>0</v>
      </c>
      <c r="BF2" s="1">
        <f t="shared" si="0"/>
        <v>0</v>
      </c>
      <c r="BG2" s="1">
        <f t="shared" si="0"/>
        <v>0</v>
      </c>
      <c r="BH2" s="1">
        <f t="shared" si="0"/>
        <v>0</v>
      </c>
      <c r="BI2" s="1">
        <f t="shared" si="0"/>
        <v>0</v>
      </c>
      <c r="BJ2" s="1">
        <f t="shared" si="0"/>
        <v>0</v>
      </c>
      <c r="BK2" s="1">
        <f t="shared" si="0"/>
        <v>0</v>
      </c>
      <c r="BL2" s="1">
        <f t="shared" si="0"/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1</v>
      </c>
    </row>
    <row r="3" spans="1:76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 t="b">
        <v>0</v>
      </c>
      <c r="AT3" s="1" t="b">
        <v>0</v>
      </c>
      <c r="AU3" s="1" t="b">
        <v>0</v>
      </c>
      <c r="AV3" s="1" t="b">
        <v>0</v>
      </c>
      <c r="AW3" s="1" t="b">
        <v>0</v>
      </c>
      <c r="AX3" s="1" t="b">
        <v>0</v>
      </c>
      <c r="AY3" s="1" t="b">
        <v>0</v>
      </c>
      <c r="AZ3" s="1" t="b">
        <v>0</v>
      </c>
      <c r="BA3" s="1" t="b">
        <v>0</v>
      </c>
      <c r="BB3" s="1" t="b">
        <v>1</v>
      </c>
      <c r="BC3" s="1" t="b">
        <v>0</v>
      </c>
      <c r="BD3" s="1" t="b">
        <v>0</v>
      </c>
      <c r="BE3" s="1" t="b">
        <v>0</v>
      </c>
      <c r="BF3" s="1" t="b">
        <v>0</v>
      </c>
      <c r="BG3" s="1" t="b">
        <v>0</v>
      </c>
      <c r="BH3" s="1" t="b">
        <v>0</v>
      </c>
      <c r="BI3" s="1" t="b">
        <v>0</v>
      </c>
      <c r="BJ3" s="1" t="b">
        <v>0</v>
      </c>
      <c r="BK3" s="1" t="b">
        <v>0</v>
      </c>
      <c r="BL3" s="1" t="b">
        <v>0</v>
      </c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K26"/>
  <sheetViews>
    <sheetView topLeftCell="B1" zoomScale="115" zoomScaleNormal="115" workbookViewId="0">
      <selection activeCell="E13" sqref="E13"/>
    </sheetView>
  </sheetViews>
  <sheetFormatPr baseColWidth="10" defaultRowHeight="15"/>
  <cols>
    <col min="1" max="1" width="22.42578125" customWidth="1"/>
    <col min="2" max="2" width="19.28515625" customWidth="1"/>
    <col min="3" max="3" width="20.42578125" customWidth="1"/>
    <col min="4" max="4" width="22.42578125" customWidth="1"/>
    <col min="5" max="5" width="41" customWidth="1"/>
    <col min="7" max="7" width="21.5703125" customWidth="1"/>
    <col min="9" max="9" width="1.5703125" customWidth="1"/>
    <col min="10" max="10" width="10.85546875" hidden="1" customWidth="1"/>
    <col min="11" max="11" width="54.140625" customWidth="1"/>
  </cols>
  <sheetData>
    <row r="1" spans="1:11">
      <c r="A1" t="s">
        <v>7</v>
      </c>
      <c r="B1" t="s">
        <v>6</v>
      </c>
      <c r="C1" t="s">
        <v>14</v>
      </c>
      <c r="D1" t="s">
        <v>8</v>
      </c>
      <c r="E1" t="s">
        <v>63</v>
      </c>
      <c r="G1" t="s">
        <v>39</v>
      </c>
    </row>
    <row r="2" spans="1:11">
      <c r="A2">
        <v>0</v>
      </c>
      <c r="B2" t="s">
        <v>3</v>
      </c>
      <c r="C2" t="s">
        <v>26</v>
      </c>
      <c r="D2" t="s">
        <v>9</v>
      </c>
      <c r="E2" t="s">
        <v>64</v>
      </c>
      <c r="G2" t="s">
        <v>41</v>
      </c>
    </row>
    <row r="3" spans="1:11">
      <c r="A3">
        <v>1</v>
      </c>
      <c r="B3" t="s">
        <v>4</v>
      </c>
      <c r="C3" t="s">
        <v>2</v>
      </c>
      <c r="D3" t="s">
        <v>10</v>
      </c>
      <c r="E3" t="s">
        <v>65</v>
      </c>
      <c r="G3" t="s">
        <v>40</v>
      </c>
    </row>
    <row r="4" spans="1:11">
      <c r="A4">
        <v>2</v>
      </c>
      <c r="B4" t="s">
        <v>0</v>
      </c>
      <c r="C4" t="s">
        <v>27</v>
      </c>
      <c r="D4" t="s">
        <v>11</v>
      </c>
      <c r="E4" t="s">
        <v>66</v>
      </c>
      <c r="G4" t="s">
        <v>42</v>
      </c>
    </row>
    <row r="5" spans="1:11">
      <c r="A5">
        <v>3</v>
      </c>
      <c r="B5" t="s">
        <v>5</v>
      </c>
      <c r="C5" t="s">
        <v>28</v>
      </c>
      <c r="D5" t="s">
        <v>12</v>
      </c>
      <c r="E5" t="s">
        <v>67</v>
      </c>
      <c r="G5" t="s">
        <v>43</v>
      </c>
    </row>
    <row r="6" spans="1:11">
      <c r="A6">
        <v>4</v>
      </c>
      <c r="B6" t="s">
        <v>38</v>
      </c>
      <c r="C6" t="s">
        <v>29</v>
      </c>
      <c r="D6" t="s">
        <v>13</v>
      </c>
      <c r="E6" t="s">
        <v>68</v>
      </c>
      <c r="G6" t="s">
        <v>44</v>
      </c>
      <c r="K6" s="6"/>
    </row>
    <row r="7" spans="1:11">
      <c r="A7">
        <v>5</v>
      </c>
      <c r="C7" t="s">
        <v>15</v>
      </c>
      <c r="E7" t="s">
        <v>69</v>
      </c>
      <c r="G7" t="s">
        <v>45</v>
      </c>
    </row>
    <row r="8" spans="1:11">
      <c r="A8">
        <v>6</v>
      </c>
      <c r="C8" t="s">
        <v>30</v>
      </c>
      <c r="E8" t="s">
        <v>70</v>
      </c>
      <c r="G8" t="s">
        <v>46</v>
      </c>
    </row>
    <row r="9" spans="1:11">
      <c r="A9">
        <v>7</v>
      </c>
      <c r="C9" t="s">
        <v>31</v>
      </c>
      <c r="E9" t="s">
        <v>71</v>
      </c>
      <c r="G9" t="s">
        <v>47</v>
      </c>
    </row>
    <row r="10" spans="1:11">
      <c r="A10">
        <v>8</v>
      </c>
      <c r="C10" t="s">
        <v>19</v>
      </c>
      <c r="E10" t="s">
        <v>75</v>
      </c>
      <c r="G10" t="s">
        <v>48</v>
      </c>
    </row>
    <row r="11" spans="1:11">
      <c r="A11">
        <v>9</v>
      </c>
      <c r="C11" t="s">
        <v>20</v>
      </c>
      <c r="E11" t="s">
        <v>72</v>
      </c>
      <c r="G11" t="s">
        <v>49</v>
      </c>
    </row>
    <row r="12" spans="1:11">
      <c r="A12">
        <v>10</v>
      </c>
      <c r="C12" t="s">
        <v>32</v>
      </c>
      <c r="E12" t="s">
        <v>73</v>
      </c>
      <c r="G12" t="s">
        <v>50</v>
      </c>
    </row>
    <row r="13" spans="1:11">
      <c r="C13" t="s">
        <v>17</v>
      </c>
      <c r="E13" t="s">
        <v>74</v>
      </c>
      <c r="G13" t="s">
        <v>51</v>
      </c>
    </row>
    <row r="14" spans="1:11">
      <c r="C14" t="s">
        <v>33</v>
      </c>
      <c r="G14" t="s">
        <v>52</v>
      </c>
    </row>
    <row r="15" spans="1:11">
      <c r="C15" t="s">
        <v>23</v>
      </c>
      <c r="G15" t="s">
        <v>53</v>
      </c>
    </row>
    <row r="16" spans="1:11">
      <c r="C16" t="s">
        <v>34</v>
      </c>
      <c r="G16" t="s">
        <v>54</v>
      </c>
    </row>
    <row r="17" spans="3:7">
      <c r="C17" t="s">
        <v>24</v>
      </c>
      <c r="G17" t="s">
        <v>55</v>
      </c>
    </row>
    <row r="18" spans="3:7">
      <c r="C18" t="s">
        <v>16</v>
      </c>
      <c r="G18" t="s">
        <v>56</v>
      </c>
    </row>
    <row r="19" spans="3:7">
      <c r="C19" t="s">
        <v>1</v>
      </c>
      <c r="G19" t="s">
        <v>57</v>
      </c>
    </row>
    <row r="20" spans="3:7">
      <c r="C20" t="s">
        <v>35</v>
      </c>
      <c r="G20" t="s">
        <v>58</v>
      </c>
    </row>
    <row r="21" spans="3:7">
      <c r="C21" t="s">
        <v>36</v>
      </c>
      <c r="G21" t="s">
        <v>59</v>
      </c>
    </row>
    <row r="22" spans="3:7">
      <c r="C22" t="s">
        <v>25</v>
      </c>
    </row>
    <row r="23" spans="3:7">
      <c r="C23" t="s">
        <v>21</v>
      </c>
    </row>
    <row r="24" spans="3:7">
      <c r="C24" t="s">
        <v>22</v>
      </c>
    </row>
    <row r="25" spans="3:7">
      <c r="C25" t="s">
        <v>18</v>
      </c>
    </row>
    <row r="26" spans="3:7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="91" zoomScaleNormal="100" workbookViewId="0">
      <selection activeCell="G10" sqref="G10"/>
    </sheetView>
  </sheetViews>
  <sheetFormatPr baseColWidth="10" defaultColWidth="11.42578125" defaultRowHeight="15"/>
  <cols>
    <col min="1" max="15" width="11.42578125" style="3" customWidth="1"/>
    <col min="16" max="16384" width="11.42578125" style="3"/>
  </cols>
  <sheetData>
    <row r="1" spans="2:13" ht="15.95" customHeight="1"/>
    <row r="2" spans="2:13" ht="39" customHeight="1">
      <c r="B2" s="16"/>
      <c r="H2" s="7"/>
    </row>
    <row r="3" spans="2:13" ht="15.95" customHeight="1">
      <c r="B3" s="8"/>
      <c r="C3" s="9"/>
    </row>
    <row r="4" spans="2:13" ht="15.95" customHeight="1"/>
    <row r="5" spans="2:13" ht="15.95" customHeight="1"/>
    <row r="6" spans="2:13" ht="15.95" customHeight="1">
      <c r="F6" s="10"/>
    </row>
    <row r="7" spans="2:13" ht="15.95" customHeight="1"/>
    <row r="8" spans="2:13" ht="15.95" customHeight="1"/>
    <row r="9" spans="2:13" ht="15.95" customHeight="1">
      <c r="F9" s="11"/>
    </row>
    <row r="10" spans="2:13" ht="15.95" customHeight="1"/>
    <row r="11" spans="2:13" ht="15.95" customHeight="1"/>
    <row r="12" spans="2:13" ht="15.95" customHeight="1"/>
    <row r="13" spans="2:13" ht="15.95" customHeight="1"/>
    <row r="14" spans="2:13" ht="15.95" customHeight="1"/>
    <row r="15" spans="2:13" ht="15.95" customHeight="1"/>
    <row r="16" spans="2:13" ht="15.95" customHeight="1">
      <c r="H16" s="12"/>
      <c r="I16" s="13"/>
      <c r="J16" s="12"/>
      <c r="K16" s="12"/>
      <c r="L16" s="14"/>
      <c r="M16" s="14"/>
    </row>
    <row r="17" spans="8:11" ht="15.95" customHeight="1">
      <c r="H17" s="12"/>
      <c r="I17" s="12"/>
      <c r="J17" s="12"/>
      <c r="K17" s="15"/>
    </row>
    <row r="18" spans="8:11" ht="15.95" customHeight="1"/>
    <row r="19" spans="8:11" ht="15.95" customHeight="1"/>
    <row r="20" spans="8:11" ht="15.95" customHeight="1"/>
    <row r="21" spans="8:11" ht="15.95" customHeight="1"/>
    <row r="22" spans="8:11" ht="15.95" customHeight="1"/>
    <row r="23" spans="8:11" ht="14.45" customHeight="1"/>
    <row r="24" spans="8:11" ht="14.45" customHeight="1"/>
    <row r="25" spans="8:11" ht="14.45" customHeight="1"/>
    <row r="26" spans="8:11" ht="14.45" customHeight="1"/>
    <row r="27" spans="8:11" ht="14.45" customHeight="1"/>
    <row r="28" spans="8:11" ht="14.45" customHeight="1"/>
    <row r="29" spans="8:11" ht="14.45" customHeight="1"/>
    <row r="30" spans="8:11" ht="14.45" customHeight="1"/>
    <row r="31" spans="8:11" ht="14.45" customHeight="1"/>
    <row r="32" spans="8:11" ht="14.45" customHeight="1"/>
    <row r="33" s="3" customFormat="1" ht="14.45" customHeight="1"/>
    <row r="34" s="3" customFormat="1" ht="14.45" customHeight="1"/>
    <row r="35" s="3" customFormat="1" ht="14.45" customHeight="1"/>
    <row r="36" s="3" customFormat="1" ht="14.45" customHeight="1"/>
    <row r="37" s="3" customFormat="1" ht="14.45" customHeight="1"/>
    <row r="38" s="3" customFormat="1" ht="14.45" customHeight="1"/>
    <row r="39" s="3" customFormat="1" ht="14.45" customHeight="1"/>
    <row r="40" s="3" customFormat="1" ht="14.45" customHeight="1"/>
    <row r="41" s="3" customFormat="1" ht="14.45" customHeight="1"/>
    <row r="42" s="3" customFormat="1" ht="14.45" customHeight="1"/>
    <row r="43" s="3" customFormat="1" ht="14.45" customHeight="1"/>
    <row r="44" s="3" customFormat="1" ht="14.45" customHeight="1"/>
    <row r="45" s="3" customFormat="1" ht="14.45" customHeight="1"/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1:D4"/>
  <sheetViews>
    <sheetView workbookViewId="0">
      <selection activeCell="B4" sqref="B4"/>
    </sheetView>
  </sheetViews>
  <sheetFormatPr baseColWidth="10" defaultRowHeight="15"/>
  <sheetData>
    <row r="1" spans="1:4">
      <c r="A1" t="s">
        <v>76</v>
      </c>
      <c r="B1">
        <v>101010</v>
      </c>
      <c r="D1" t="s">
        <v>77</v>
      </c>
    </row>
    <row r="2" spans="1:4">
      <c r="A2" t="s">
        <v>78</v>
      </c>
      <c r="B2">
        <v>100</v>
      </c>
      <c r="D2" t="str">
        <f>"Le prix que nous vous recommandons est " &amp;B1&amp;" $"</f>
        <v>Le prix que nous vous recommandons est 101010 $</v>
      </c>
    </row>
    <row r="3" spans="1:4">
      <c r="B3" s="1" t="str" cm="1">
        <f t="array" ref="B3:B4">Tableau4[bathrooms]</f>
        <v>6</v>
      </c>
      <c r="D3" t="str">
        <f>"Le prix moyen dans le " &amp;B3&amp;" arrondissement est " &amp;B2&amp;  " $"</f>
        <v>Le prix moyen dans le 6 arrondissement est 100 $</v>
      </c>
    </row>
    <row r="4" spans="1:4">
      <c r="B4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Bienvenue</vt:lpstr>
      <vt:lpstr>empty</vt:lpstr>
      <vt:lpstr>Donnees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2023-12-05T20:13:18Z</dcterms:modified>
</cp:coreProperties>
</file>