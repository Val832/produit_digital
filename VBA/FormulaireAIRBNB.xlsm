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ran\Desktop\produit_digital\VBA\"/>
    </mc:Choice>
  </mc:AlternateContent>
  <xr:revisionPtr revIDLastSave="0" documentId="13_ncr:1_{F53AC48B-C00B-446D-9C07-3E8AF251D7FD}" xr6:coauthVersionLast="47" xr6:coauthVersionMax="47" xr10:uidLastSave="{00000000-0000-0000-0000-000000000000}"/>
  <bookViews>
    <workbookView xWindow="-110" yWindow="10690" windowWidth="19420" windowHeight="11020" firstSheet="2" activeTab="5" xr2:uid="{D0BD4728-227B-4C76-9119-CEA83803AF99}"/>
  </bookViews>
  <sheets>
    <sheet name="Bienvenue" sheetId="5" r:id="rId1"/>
    <sheet name="empty" sheetId="6" state="hidden" r:id="rId2"/>
    <sheet name="Donnees" sheetId="4" r:id="rId3"/>
    <sheet name="DataClean" sheetId="8" r:id="rId4"/>
    <sheet name="tableauFormulaire " sheetId="3" r:id="rId5"/>
    <sheet name="Estimation" sheetId="1" r:id="rId6"/>
    <sheet name="Traitement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9" i="7" l="1"/>
  <c r="B4" i="7"/>
  <c r="B3" i="7"/>
  <c r="B5" i="7"/>
  <c r="E27" i="7"/>
  <c r="E30" i="7"/>
  <c r="E11" i="7"/>
  <c r="E29" i="7"/>
  <c r="E28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P2" i="8"/>
  <c r="U2" i="8"/>
  <c r="AB2" i="8"/>
  <c r="AT2" i="8"/>
  <c r="AS2" i="4"/>
  <c r="AR2" i="4"/>
  <c r="AP2" i="4"/>
  <c r="AP2" i="8" s="1"/>
  <c r="AO2" i="4"/>
  <c r="AO2" i="8" s="1"/>
  <c r="AO3" i="4"/>
  <c r="AF3" i="4"/>
  <c r="AH3" i="4" s="1"/>
  <c r="AE3" i="4"/>
  <c r="X2" i="4"/>
  <c r="X2" i="8" s="1"/>
  <c r="Y2" i="4"/>
  <c r="Y2" i="8" s="1"/>
  <c r="Z2" i="4"/>
  <c r="Z2" i="8" s="1"/>
  <c r="AA2" i="4"/>
  <c r="AA2" i="8" s="1"/>
  <c r="AB2" i="4"/>
  <c r="AC2" i="4"/>
  <c r="AE2" i="4" s="1"/>
  <c r="AG2" i="4" s="1"/>
  <c r="AI2" i="4" s="1"/>
  <c r="AK2" i="4" s="1"/>
  <c r="AM2" i="4" s="1"/>
  <c r="AM2" i="8" s="1"/>
  <c r="AD2" i="4"/>
  <c r="AF2" i="4" s="1"/>
  <c r="AH2" i="4" s="1"/>
  <c r="AJ2" i="4" s="1"/>
  <c r="AL2" i="4" s="1"/>
  <c r="AN2" i="4" s="1"/>
  <c r="AN2" i="8" s="1"/>
  <c r="P2" i="4"/>
  <c r="Q2" i="4"/>
  <c r="Q2" i="8" s="1"/>
  <c r="R2" i="4"/>
  <c r="R2" i="8" s="1"/>
  <c r="S2" i="4"/>
  <c r="S2" i="8" s="1"/>
  <c r="T2" i="4"/>
  <c r="T2" i="8" s="1"/>
  <c r="U2" i="4"/>
  <c r="V2" i="4"/>
  <c r="V2" i="8" s="1"/>
  <c r="W2" i="4"/>
  <c r="W2" i="8" s="1"/>
  <c r="I2" i="4"/>
  <c r="I2" i="8" s="1"/>
  <c r="J2" i="4"/>
  <c r="J2" i="8" s="1"/>
  <c r="K2" i="4"/>
  <c r="K2" i="8" s="1"/>
  <c r="L2" i="4"/>
  <c r="L2" i="8" s="1"/>
  <c r="M2" i="4"/>
  <c r="M2" i="8" s="1"/>
  <c r="N2" i="4"/>
  <c r="N2" i="8" s="1"/>
  <c r="O2" i="4"/>
  <c r="O2" i="8" s="1"/>
  <c r="E2" i="4"/>
  <c r="E2" i="8" s="1"/>
  <c r="F2" i="4"/>
  <c r="F2" i="8" s="1"/>
  <c r="G2" i="4"/>
  <c r="G2" i="8" s="1"/>
  <c r="H2" i="4"/>
  <c r="H2" i="8" s="1"/>
  <c r="J6" i="7"/>
  <c r="J7" i="7"/>
  <c r="J4" i="7"/>
  <c r="I9" i="7" l="1"/>
  <c r="AJ2" i="8"/>
  <c r="AH2" i="8"/>
  <c r="AF2" i="8"/>
  <c r="AL2" i="8"/>
  <c r="AD2" i="8"/>
  <c r="AE2" i="8"/>
  <c r="AC2" i="8"/>
  <c r="AK2" i="8"/>
  <c r="AI2" i="8"/>
  <c r="AG2" i="8"/>
  <c r="B5" i="4"/>
  <c r="C2" i="8"/>
  <c r="D2" i="8"/>
  <c r="AQ2" i="8"/>
  <c r="BN2" i="8"/>
  <c r="BO2" i="8"/>
  <c r="BP2" i="8"/>
  <c r="BQ2" i="8"/>
  <c r="BR2" i="8"/>
  <c r="BS2" i="8"/>
  <c r="BT2" i="8"/>
  <c r="BU2" i="8"/>
  <c r="BV2" i="8"/>
  <c r="BW2" i="8"/>
  <c r="BX2" i="8"/>
  <c r="BY2" i="8"/>
  <c r="B2" i="8"/>
  <c r="A2" i="8"/>
  <c r="AS2" i="8"/>
  <c r="AR2" i="8"/>
  <c r="AU2" i="8"/>
  <c r="AV2" i="8"/>
  <c r="AW2" i="8"/>
  <c r="AX2" i="8"/>
  <c r="AY2" i="8"/>
  <c r="AZ2" i="8"/>
  <c r="BA2" i="8"/>
  <c r="BB2" i="8"/>
  <c r="BC2" i="8"/>
  <c r="BD2" i="8"/>
  <c r="BE2" i="8"/>
  <c r="BF2" i="8"/>
  <c r="BG2" i="8"/>
  <c r="BH2" i="8"/>
  <c r="BI2" i="8"/>
  <c r="BJ2" i="8"/>
  <c r="BK2" i="8"/>
  <c r="BL2" i="8"/>
  <c r="BM2" i="8"/>
</calcChain>
</file>

<file path=xl/sharedStrings.xml><?xml version="1.0" encoding="utf-8"?>
<sst xmlns="http://schemas.openxmlformats.org/spreadsheetml/2006/main" count="311" uniqueCount="189">
  <si>
    <t>Futon</t>
  </si>
  <si>
    <t>Maison</t>
  </si>
  <si>
    <t xml:space="preserve">Appartement </t>
  </si>
  <si>
    <t xml:space="preserve">Canapé </t>
  </si>
  <si>
    <t>Canapé convertible</t>
  </si>
  <si>
    <t>Lit</t>
  </si>
  <si>
    <t>type de couchage</t>
  </si>
  <si>
    <t>de 0 à 10</t>
  </si>
  <si>
    <t>Politique d'annulation</t>
  </si>
  <si>
    <t>moderate</t>
  </si>
  <si>
    <t xml:space="preserve">flexible </t>
  </si>
  <si>
    <t>stricte</t>
  </si>
  <si>
    <t>super strict 60</t>
  </si>
  <si>
    <t>super strict 30</t>
  </si>
  <si>
    <t>type de structure</t>
  </si>
  <si>
    <t>Bed &amp; breakfast</t>
  </si>
  <si>
    <t>Loft</t>
  </si>
  <si>
    <t>Condominium</t>
  </si>
  <si>
    <t>Villa</t>
  </si>
  <si>
    <t>Cabine</t>
  </si>
  <si>
    <t>Camping Car</t>
  </si>
  <si>
    <t>Multiprorité</t>
  </si>
  <si>
    <t>Tipi</t>
  </si>
  <si>
    <t>Grotte</t>
  </si>
  <si>
    <t>Igloo</t>
  </si>
  <si>
    <t>Maison en terre</t>
  </si>
  <si>
    <t xml:space="preserve"> Boutique hôtel</t>
  </si>
  <si>
    <t>Appartement avec services hôteliers</t>
  </si>
  <si>
    <t>Auberge de jeunesse</t>
  </si>
  <si>
    <t>Bateau</t>
  </si>
  <si>
    <t xml:space="preserve">Bungalow </t>
  </si>
  <si>
    <t>Cabane dans les arbres</t>
  </si>
  <si>
    <t>Chalet</t>
  </si>
  <si>
    <t>Dortoir</t>
  </si>
  <si>
    <t>Hôtel</t>
  </si>
  <si>
    <t>Maison de ville</t>
  </si>
  <si>
    <t>Maison d'hotes</t>
  </si>
  <si>
    <t>Autre</t>
  </si>
  <si>
    <t>Matelas gonflable</t>
  </si>
  <si>
    <t>Arrondissement</t>
  </si>
  <si>
    <t>1er</t>
  </si>
  <si>
    <t>type de propriété</t>
  </si>
  <si>
    <t>Condo entier</t>
  </si>
  <si>
    <t>Unité de location entière</t>
  </si>
  <si>
    <t>Appartement entièrement meublé</t>
  </si>
  <si>
    <t>Maison entière</t>
  </si>
  <si>
    <t>Chambre privée dans une maison d'hôtes</t>
  </si>
  <si>
    <t>Chambre privée dans une auberge de jeunesse</t>
  </si>
  <si>
    <t>chambre privée dans un loft</t>
  </si>
  <si>
    <t>chambre privée dans une unité de location</t>
  </si>
  <si>
    <t xml:space="preserve">chambre dans un hôtel </t>
  </si>
  <si>
    <t>chambre d'hôtel</t>
  </si>
  <si>
    <t>chambre privée</t>
  </si>
  <si>
    <t>chambre dans un hôtel de charme</t>
  </si>
  <si>
    <t>prix traitement</t>
  </si>
  <si>
    <t>bathrooms</t>
  </si>
  <si>
    <t>beds</t>
  </si>
  <si>
    <t>Dishwasher</t>
  </si>
  <si>
    <t>Coffee maker</t>
  </si>
  <si>
    <t>Coffee</t>
  </si>
  <si>
    <t>Bed linens</t>
  </si>
  <si>
    <t>Hot water kettle</t>
  </si>
  <si>
    <t>Crib</t>
  </si>
  <si>
    <t>Wine glasses</t>
  </si>
  <si>
    <t>Toaster</t>
  </si>
  <si>
    <t>Freezer</t>
  </si>
  <si>
    <t>Refrigerator</t>
  </si>
  <si>
    <t>Air conditioning</t>
  </si>
  <si>
    <t>TV</t>
  </si>
  <si>
    <t>Dining table</t>
  </si>
  <si>
    <t>Oven</t>
  </si>
  <si>
    <t>Cleaning products</t>
  </si>
  <si>
    <t>Microwave</t>
  </si>
  <si>
    <t>Cooking basics</t>
  </si>
  <si>
    <t>Self check-in</t>
  </si>
  <si>
    <t>Dedicated workspace</t>
  </si>
  <si>
    <t>Hair dryer</t>
  </si>
  <si>
    <t>Clothing storage</t>
  </si>
  <si>
    <t>Baking sheet</t>
  </si>
  <si>
    <t>Shower gel</t>
  </si>
  <si>
    <t>Dryer</t>
  </si>
  <si>
    <t>Iron</t>
  </si>
  <si>
    <t>Bathtub</t>
  </si>
  <si>
    <t>Fire extinguisher</t>
  </si>
  <si>
    <t>Free washer</t>
  </si>
  <si>
    <t>Carbon monoxide alarm</t>
  </si>
  <si>
    <t>Building staff</t>
  </si>
  <si>
    <t>Books and reading material</t>
  </si>
  <si>
    <t>closet</t>
  </si>
  <si>
    <t>neighbourhood_cleansed_Batignolles_Monceau</t>
  </si>
  <si>
    <t>neighbourhood_cleansed_Bourse</t>
  </si>
  <si>
    <t>neighbourhood_cleansed_Buttes-Montmartre</t>
  </si>
  <si>
    <t>neighbourhood_cleansed_Entrepôt</t>
  </si>
  <si>
    <t>neighbourhood_cleansed_Gobelins</t>
  </si>
  <si>
    <t>neighbourhood_cleansed_Hôtel-de-Ville</t>
  </si>
  <si>
    <t>neighbourhood_cleansed_Louvre</t>
  </si>
  <si>
    <t>neighbourhood_cleansed_Luxembourg</t>
  </si>
  <si>
    <t>neighbourhood_cleansed_Ménilmontant</t>
  </si>
  <si>
    <t>neighbourhood_cleansed_Observatoire</t>
  </si>
  <si>
    <t>neighbourhood_cleansed_Opéra</t>
  </si>
  <si>
    <t>neighbourhood_cleansed_Palais-Bourbon</t>
  </si>
  <si>
    <t>neighbourhood_cleansed_Panthéon</t>
  </si>
  <si>
    <t>neighbourhood_cleansed_Passy</t>
  </si>
  <si>
    <t>neighbourhood_cleansed_Popincourt</t>
  </si>
  <si>
    <t>neighbourhood_cleansed_Reuilly</t>
  </si>
  <si>
    <t>neighbourhood_cleansed_Vaugirard</t>
  </si>
  <si>
    <t>neighbourhood_cleansed_Temple</t>
  </si>
  <si>
    <t>property_type_Entire condo</t>
  </si>
  <si>
    <t>property_type_Entire townhouse</t>
  </si>
  <si>
    <t>property_type_Private room in guesthouse</t>
  </si>
  <si>
    <t>property_type_Private room in hostel</t>
  </si>
  <si>
    <t>property_type_Private room in loft</t>
  </si>
  <si>
    <t>property_type_Private room in rental unit</t>
  </si>
  <si>
    <t xml:space="preserve">property_type_Room in boutique hotel </t>
  </si>
  <si>
    <t xml:space="preserve">property_type_Room in hotel </t>
  </si>
  <si>
    <t>property_type_Hotel room</t>
  </si>
  <si>
    <t>property_type_Private room</t>
  </si>
  <si>
    <t>accommodates</t>
  </si>
  <si>
    <t>Hot water</t>
  </si>
  <si>
    <t>Body soap</t>
  </si>
  <si>
    <t>Drying rack for clothing</t>
  </si>
  <si>
    <t>Free dryer</t>
  </si>
  <si>
    <t>bedrooms_squared</t>
  </si>
  <si>
    <t>bathrooms_squared</t>
  </si>
  <si>
    <t>neighbourhood_cleansed_Buttes-Chaumont</t>
  </si>
  <si>
    <t>Dishes and silverware</t>
  </si>
  <si>
    <t>accommodates_squared</t>
  </si>
  <si>
    <t>beds_squared</t>
  </si>
  <si>
    <t>neighbourhood_cleansed_Élysée</t>
  </si>
  <si>
    <t>property_type_Entire rental unit</t>
  </si>
  <si>
    <t>property_type_Entire serviced apartment</t>
  </si>
  <si>
    <t>const</t>
  </si>
  <si>
    <t>Valeur prédite</t>
  </si>
  <si>
    <t>Borne Supérieure</t>
  </si>
  <si>
    <t>Borne inférieure</t>
  </si>
  <si>
    <t>arrondissement</t>
  </si>
  <si>
    <t>20eme</t>
  </si>
  <si>
    <t>nombre Ameneties</t>
  </si>
  <si>
    <t>neighbourhood_name</t>
  </si>
  <si>
    <t>Gobelins</t>
  </si>
  <si>
    <t>Buttes-Chaumont</t>
  </si>
  <si>
    <t>Buttes-Montmartre</t>
  </si>
  <si>
    <t>Reuilly</t>
  </si>
  <si>
    <t>Observatoire</t>
  </si>
  <si>
    <t>Popincourt</t>
  </si>
  <si>
    <t>Batignolles-Monceau</t>
  </si>
  <si>
    <t>Vaugirard</t>
  </si>
  <si>
    <t>Temple</t>
  </si>
  <si>
    <t>Bourse</t>
  </si>
  <si>
    <t>Luxembourg</t>
  </si>
  <si>
    <t>Passy</t>
  </si>
  <si>
    <t>Louvre</t>
  </si>
  <si>
    <t>Palais-Bourbon</t>
  </si>
  <si>
    <t>average</t>
  </si>
  <si>
    <t>Ménilmontant</t>
  </si>
  <si>
    <t>Entrepôt</t>
  </si>
  <si>
    <t>Panthéon</t>
  </si>
  <si>
    <t>Opéra</t>
  </si>
  <si>
    <t>Hôtel-de-Ville</t>
  </si>
  <si>
    <t>Élysée</t>
  </si>
  <si>
    <t>Nom de l'arrondissement</t>
  </si>
  <si>
    <t>2eme</t>
  </si>
  <si>
    <t>3eme</t>
  </si>
  <si>
    <t>4eme</t>
  </si>
  <si>
    <t>5eme</t>
  </si>
  <si>
    <t>6eme</t>
  </si>
  <si>
    <t>7eme</t>
  </si>
  <si>
    <t>8eme</t>
  </si>
  <si>
    <t>9eme</t>
  </si>
  <si>
    <t>10eme</t>
  </si>
  <si>
    <t>11eme</t>
  </si>
  <si>
    <t>12eme</t>
  </si>
  <si>
    <t>13eme</t>
  </si>
  <si>
    <t>14eme</t>
  </si>
  <si>
    <t>15eme</t>
  </si>
  <si>
    <t>16eme</t>
  </si>
  <si>
    <t>17eme</t>
  </si>
  <si>
    <t>18eme</t>
  </si>
  <si>
    <t>19eme</t>
  </si>
  <si>
    <t>3</t>
  </si>
  <si>
    <t>count Ameneties</t>
  </si>
  <si>
    <t>5</t>
  </si>
  <si>
    <t xml:space="preserve"> </t>
  </si>
  <si>
    <t>prix moyen</t>
  </si>
  <si>
    <t>definition</t>
  </si>
  <si>
    <t>value</t>
  </si>
  <si>
    <t>tranformation</t>
  </si>
  <si>
    <t>order</t>
  </si>
  <si>
    <t>numero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</si>
</sst>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Tahoma"/>
      <family val="2"/>
    </font>
    <font>
      <sz val="22"/>
      <color theme="1"/>
      <name val="Tahoma"/>
      <family val="2"/>
    </font>
    <font>
      <sz val="18"/>
      <color theme="1"/>
      <name val="Tahoma"/>
      <family val="2"/>
    </font>
    <font>
      <b/>
      <sz val="22"/>
      <color theme="1"/>
      <name val="Tahoma"/>
      <family val="2"/>
    </font>
    <font>
      <b/>
      <sz val="26"/>
      <color theme="1"/>
      <name val="Tahoma"/>
      <family val="2"/>
    </font>
    <font>
      <sz val="12"/>
      <color theme="1"/>
      <name val="Tahoma"/>
      <family val="2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2" fontId="0" fillId="0" borderId="0" xfId="0" applyNumberFormat="1"/>
    <xf numFmtId="0" fontId="2" fillId="2" borderId="0" xfId="0" applyFont="1" applyFill="1" applyAlignment="1">
      <alignment horizontal="center" vertical="top" wrapText="1"/>
    </xf>
    <xf numFmtId="0" fontId="0" fillId="2" borderId="0" xfId="0" applyFill="1"/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7" fillId="2" borderId="0" xfId="0" applyFont="1" applyFill="1" applyAlignment="1">
      <alignment vertical="top" wrapText="1"/>
    </xf>
    <xf numFmtId="0" fontId="7" fillId="2" borderId="0" xfId="0" applyFont="1" applyFill="1"/>
    <xf numFmtId="2" fontId="2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vertical="center"/>
    </xf>
    <xf numFmtId="0" fontId="0" fillId="2" borderId="0" xfId="0" applyFill="1" applyAlignment="1">
      <alignment wrapText="1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/>
    <xf numFmtId="2" fontId="5" fillId="2" borderId="0" xfId="0" applyNumberFormat="1" applyFont="1" applyFill="1"/>
    <xf numFmtId="0" fontId="4" fillId="2" borderId="0" xfId="0" applyFont="1" applyFill="1"/>
    <xf numFmtId="2" fontId="6" fillId="2" borderId="0" xfId="0" applyNumberFormat="1" applyFont="1" applyFill="1"/>
    <xf numFmtId="1" fontId="0" fillId="0" borderId="0" xfId="0" applyNumberFormat="1"/>
    <xf numFmtId="0" fontId="0" fillId="0" borderId="0" xfId="0" applyAlignment="1">
      <alignment wrapText="1"/>
    </xf>
    <xf numFmtId="0" fontId="8" fillId="5" borderId="10" xfId="0" applyFont="1" applyFill="1" applyBorder="1" applyAlignment="1">
      <alignment wrapText="1"/>
    </xf>
    <xf numFmtId="0" fontId="8" fillId="5" borderId="11" xfId="0" applyFont="1" applyFill="1" applyBorder="1" applyAlignment="1">
      <alignment wrapText="1"/>
    </xf>
    <xf numFmtId="0" fontId="8" fillId="5" borderId="12" xfId="0" applyFont="1" applyFill="1" applyBorder="1" applyAlignment="1">
      <alignment wrapText="1"/>
    </xf>
    <xf numFmtId="0" fontId="0" fillId="5" borderId="13" xfId="0" applyFill="1" applyBorder="1"/>
    <xf numFmtId="3" fontId="0" fillId="5" borderId="14" xfId="0" applyNumberFormat="1" applyFill="1" applyBorder="1"/>
    <xf numFmtId="2" fontId="0" fillId="5" borderId="15" xfId="0" applyNumberFormat="1" applyFill="1" applyBorder="1"/>
    <xf numFmtId="0" fontId="0" fillId="5" borderId="13" xfId="0" applyFill="1" applyBorder="1" applyAlignment="1">
      <alignment wrapText="1"/>
    </xf>
    <xf numFmtId="2" fontId="0" fillId="5" borderId="14" xfId="0" applyNumberFormat="1" applyFill="1" applyBorder="1" applyAlignment="1">
      <alignment wrapText="1"/>
    </xf>
    <xf numFmtId="2" fontId="0" fillId="5" borderId="15" xfId="0" applyNumberFormat="1" applyFill="1" applyBorder="1" applyAlignment="1">
      <alignment wrapText="1"/>
    </xf>
    <xf numFmtId="0" fontId="0" fillId="5" borderId="14" xfId="0" applyFill="1" applyBorder="1" applyAlignment="1">
      <alignment wrapText="1"/>
    </xf>
    <xf numFmtId="2" fontId="0" fillId="5" borderId="14" xfId="0" applyNumberFormat="1" applyFill="1" applyBorder="1"/>
    <xf numFmtId="0" fontId="0" fillId="5" borderId="14" xfId="0" applyFill="1" applyBorder="1"/>
    <xf numFmtId="0" fontId="0" fillId="5" borderId="15" xfId="0" applyFill="1" applyBorder="1"/>
    <xf numFmtId="0" fontId="0" fillId="3" borderId="1" xfId="0" applyFill="1" applyBorder="1" applyAlignment="1">
      <alignment horizontal="left"/>
    </xf>
    <xf numFmtId="0" fontId="0" fillId="3" borderId="2" xfId="0" applyFill="1" applyBorder="1" applyAlignment="1">
      <alignment horizontal="left" vertical="center"/>
    </xf>
    <xf numFmtId="0" fontId="0" fillId="3" borderId="2" xfId="0" applyFill="1" applyBorder="1" applyAlignment="1">
      <alignment horizontal="left"/>
    </xf>
    <xf numFmtId="0" fontId="0" fillId="3" borderId="3" xfId="0" applyFill="1" applyBorder="1" applyAlignment="1">
      <alignment horizontal="left"/>
    </xf>
    <xf numFmtId="0" fontId="0" fillId="3" borderId="4" xfId="0" applyFill="1" applyBorder="1" applyAlignment="1">
      <alignment horizontal="left"/>
    </xf>
    <xf numFmtId="0" fontId="0" fillId="3" borderId="0" xfId="0" applyFill="1" applyAlignment="1">
      <alignment horizontal="left"/>
    </xf>
    <xf numFmtId="0" fontId="0" fillId="3" borderId="5" xfId="0" applyFill="1" applyBorder="1" applyAlignment="1">
      <alignment horizontal="left"/>
    </xf>
    <xf numFmtId="0" fontId="0" fillId="3" borderId="6" xfId="0" applyFill="1" applyBorder="1" applyAlignment="1">
      <alignment horizontal="left"/>
    </xf>
    <xf numFmtId="0" fontId="0" fillId="3" borderId="7" xfId="0" applyFill="1" applyBorder="1" applyAlignment="1">
      <alignment horizontal="left"/>
    </xf>
    <xf numFmtId="0" fontId="0" fillId="3" borderId="8" xfId="0" applyFill="1" applyBorder="1" applyAlignment="1">
      <alignment horizontal="left"/>
    </xf>
    <xf numFmtId="0" fontId="0" fillId="4" borderId="16" xfId="0" applyFill="1" applyBorder="1" applyAlignment="1">
      <alignment wrapText="1"/>
    </xf>
    <xf numFmtId="0" fontId="0" fillId="4" borderId="17" xfId="0" applyFill="1" applyBorder="1" applyAlignment="1">
      <alignment wrapText="1"/>
    </xf>
    <xf numFmtId="0" fontId="0" fillId="4" borderId="9" xfId="0" applyFill="1" applyBorder="1" applyAlignment="1">
      <alignment wrapText="1"/>
    </xf>
  </cellXfs>
  <cellStyles count="1">
    <cellStyle name="Normal" xfId="0" builtinId="0"/>
  </cellStyles>
  <dxfs count="77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</dxfs>
  <tableStyles count="0" defaultTableStyle="TableStyleMedium2" defaultPivotStyle="PivotStyleLight16"/>
  <colors>
    <mruColors>
      <color rgb="FF70A6E8"/>
      <color rgb="FFD15842"/>
      <color rgb="FFF1EABD"/>
      <color rgb="FFF9F6E3"/>
      <color rgb="FFF9F2E3"/>
      <color rgb="FFFFEE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0.png"/><Relationship Id="rId4" Type="http://schemas.openxmlformats.org/officeDocument/2006/relationships/image" Target="../media/image5.png"/><Relationship Id="rId9" Type="http://schemas.microsoft.com/office/2007/relationships/hdphoto" Target="../media/hdphoto1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4063999</xdr:colOff>
      <xdr:row>5</xdr:row>
      <xdr:rowOff>117819</xdr:rowOff>
    </xdr:from>
    <xdr:to>
      <xdr:col>8</xdr:col>
      <xdr:colOff>746124</xdr:colOff>
      <xdr:row>18</xdr:row>
      <xdr:rowOff>105857</xdr:rowOff>
    </xdr:to>
    <xdr:pic>
      <xdr:nvPicPr>
        <xdr:cNvPr id="2" name="Image 1" descr="Une image contenant bâtiment&#10;&#10;Description générée automatiquemen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053" b="10271"/>
        <a:stretch/>
      </xdr:blipFill>
      <xdr:spPr>
        <a:xfrm>
          <a:off x="5905499" y="1108419"/>
          <a:ext cx="3413125" cy="2540738"/>
        </a:xfrm>
        <a:prstGeom prst="rect">
          <a:avLst/>
        </a:prstGeom>
      </xdr:spPr>
    </xdr:pic>
    <xdr:clientData/>
  </xdr:twoCellAnchor>
  <xdr:twoCellAnchor>
    <xdr:from>
      <xdr:col>0</xdr:col>
      <xdr:colOff>717549</xdr:colOff>
      <xdr:row>4</xdr:row>
      <xdr:rowOff>152400</xdr:rowOff>
    </xdr:from>
    <xdr:to>
      <xdr:col>3</xdr:col>
      <xdr:colOff>3403599</xdr:colOff>
      <xdr:row>21</xdr:row>
      <xdr:rowOff>6350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7DB22E2B-DEE1-42C5-B06C-14330F53C412}"/>
            </a:ext>
          </a:extLst>
        </xdr:cNvPr>
        <xdr:cNvSpPr txBox="1"/>
      </xdr:nvSpPr>
      <xdr:spPr>
        <a:xfrm>
          <a:off x="717549" y="914400"/>
          <a:ext cx="4527550" cy="3206750"/>
        </a:xfrm>
        <a:prstGeom prst="roundRect">
          <a:avLst>
            <a:gd name="adj" fmla="val 6717"/>
          </a:avLst>
        </a:prstGeom>
        <a:solidFill>
          <a:schemeClr val="lt1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A vous</a:t>
          </a:r>
          <a:r>
            <a:rPr lang="fr-F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de jouer</a:t>
          </a:r>
          <a:endParaRPr lang="fr-FR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endParaRPr lang="fr-FR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lang="fr-FR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Vous souhaitez faire de la location courte durée avec votre bien immobilier à Paris, mais vous ne savez pas comment vous y prendre ? </a:t>
          </a:r>
        </a:p>
        <a:p>
          <a:endParaRPr lang="fr-FR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lang="fr-FR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Pas de panique!</a:t>
          </a:r>
          <a:r>
            <a:rPr lang="fr-FR" sz="1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</a:p>
        <a:p>
          <a:pPr algn="l"/>
          <a:endParaRPr lang="fr-FR" sz="1400" baseline="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lang="fr-FR" sz="1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Cliquez sur </a:t>
          </a:r>
          <a:r>
            <a:rPr lang="fr-FR" sz="1400" b="1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le bouton juste en dessous</a:t>
          </a:r>
          <a:r>
            <a:rPr lang="fr-FR" sz="1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, et on vous aide à trouver </a:t>
          </a:r>
          <a:r>
            <a:rPr lang="fr-FR" sz="1400" b="1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le juste prix! </a:t>
          </a:r>
        </a:p>
        <a:p>
          <a:endParaRPr lang="fr-FR" sz="11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15875</xdr:colOff>
      <xdr:row>1</xdr:row>
      <xdr:rowOff>73024</xdr:rowOff>
    </xdr:from>
    <xdr:to>
      <xdr:col>3</xdr:col>
      <xdr:colOff>911225</xdr:colOff>
      <xdr:row>4</xdr:row>
      <xdr:rowOff>73024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31A1DA4F-1B65-4703-9BD7-F83E5B50ACDC}"/>
            </a:ext>
          </a:extLst>
        </xdr:cNvPr>
        <xdr:cNvSpPr txBox="1"/>
      </xdr:nvSpPr>
      <xdr:spPr>
        <a:xfrm>
          <a:off x="777875" y="263524"/>
          <a:ext cx="1974850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Bienvenue</a:t>
          </a:r>
        </a:p>
      </xdr:txBody>
    </xdr:sp>
    <xdr:clientData/>
  </xdr:twoCellAnchor>
  <xdr:twoCellAnchor>
    <xdr:from>
      <xdr:col>2</xdr:col>
      <xdr:colOff>238125</xdr:colOff>
      <xdr:row>17</xdr:row>
      <xdr:rowOff>136525</xdr:rowOff>
    </xdr:from>
    <xdr:to>
      <xdr:col>3</xdr:col>
      <xdr:colOff>2416175</xdr:colOff>
      <xdr:row>20</xdr:row>
      <xdr:rowOff>79375</xdr:rowOff>
    </xdr:to>
    <xdr:sp macro="[0]!openUserForm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762125" y="3489325"/>
          <a:ext cx="2495550" cy="514350"/>
        </a:xfrm>
        <a:prstGeom prst="roundRect">
          <a:avLst/>
        </a:prstGeom>
        <a:solidFill>
          <a:srgbClr val="D15842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0">
              <a:ln>
                <a:noFill/>
              </a:ln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Démarrer</a:t>
          </a:r>
          <a:r>
            <a:rPr lang="fr-FR" sz="1400" b="0" baseline="0">
              <a:ln>
                <a:noFill/>
              </a:ln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l'estimation</a:t>
          </a:r>
          <a:endParaRPr lang="fr-FR" sz="1400" b="0">
            <a:ln>
              <a:noFill/>
            </a:ln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720724</xdr:colOff>
      <xdr:row>16</xdr:row>
      <xdr:rowOff>48707</xdr:rowOff>
    </xdr:from>
    <xdr:to>
      <xdr:col>8</xdr:col>
      <xdr:colOff>492124</xdr:colOff>
      <xdr:row>18</xdr:row>
      <xdr:rowOff>123857</xdr:rowOff>
    </xdr:to>
    <xdr:sp macro="[0]!ExitEstimation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768724" y="3325307"/>
          <a:ext cx="2819400" cy="481550"/>
        </a:xfrm>
        <a:prstGeom prst="roundRect">
          <a:avLst/>
        </a:prstGeom>
        <a:solidFill>
          <a:srgbClr val="D15842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0">
              <a:ln>
                <a:noFill/>
              </a:ln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Retourner</a:t>
          </a:r>
          <a:r>
            <a:rPr lang="fr-FR" sz="1400" b="0" baseline="0">
              <a:ln>
                <a:noFill/>
              </a:ln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à la page d'acceuil</a:t>
          </a:r>
          <a:endParaRPr lang="fr-FR" sz="1400" b="0">
            <a:ln>
              <a:noFill/>
            </a:ln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246778</xdr:colOff>
      <xdr:row>0</xdr:row>
      <xdr:rowOff>104670</xdr:rowOff>
    </xdr:from>
    <xdr:to>
      <xdr:col>4</xdr:col>
      <xdr:colOff>211120</xdr:colOff>
      <xdr:row>3</xdr:row>
      <xdr:rowOff>58999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31BC7D42-D1B1-47A3-8DC2-149E3E7E8D2B}"/>
            </a:ext>
          </a:extLst>
        </xdr:cNvPr>
        <xdr:cNvSpPr/>
      </xdr:nvSpPr>
      <xdr:spPr>
        <a:xfrm>
          <a:off x="246778" y="104670"/>
          <a:ext cx="3006760" cy="589329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Mon Dashboard</a:t>
          </a:r>
        </a:p>
        <a:p>
          <a:pPr algn="ctr"/>
          <a:endParaRPr lang="fr-FR" sz="32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320361</xdr:colOff>
      <xdr:row>2</xdr:row>
      <xdr:rowOff>194793</xdr:rowOff>
    </xdr:from>
    <xdr:to>
      <xdr:col>4</xdr:col>
      <xdr:colOff>31750</xdr:colOff>
      <xdr:row>9</xdr:row>
      <xdr:rowOff>38101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C929558B-FE17-41E7-B47B-FDD9A1F49C78}"/>
            </a:ext>
          </a:extLst>
        </xdr:cNvPr>
        <xdr:cNvSpPr txBox="1"/>
      </xdr:nvSpPr>
      <xdr:spPr>
        <a:xfrm>
          <a:off x="320361" y="626593"/>
          <a:ext cx="2759389" cy="1265708"/>
        </a:xfrm>
        <a:prstGeom prst="roundRect">
          <a:avLst>
            <a:gd name="adj" fmla="val 6717"/>
          </a:avLst>
        </a:prstGeom>
        <a:solidFill>
          <a:srgbClr val="EC8C43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Le prix recommandé</a:t>
          </a:r>
          <a:endParaRPr lang="fr-FR" sz="120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endParaRPr lang="fr-FR" sz="12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lang="fr-FR" sz="9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Nous vous recommandons de mettre votre bien à</a:t>
          </a:r>
          <a:r>
            <a:rPr lang="fr-FR" sz="90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endParaRPr lang="fr-FR" sz="900" b="1" baseline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endParaRPr lang="fr-FR" sz="11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120617</xdr:colOff>
      <xdr:row>5</xdr:row>
      <xdr:rowOff>181844</xdr:rowOff>
    </xdr:from>
    <xdr:to>
      <xdr:col>2</xdr:col>
      <xdr:colOff>568325</xdr:colOff>
      <xdr:row>7</xdr:row>
      <xdr:rowOff>85725</xdr:rowOff>
    </xdr:to>
    <xdr:sp macro="" textlink="Traitement!J4">
      <xdr:nvSpPr>
        <xdr:cNvPr id="14" name="Rectangle : coins arrondis 13">
          <a:extLst>
            <a:ext uri="{FF2B5EF4-FFF2-40B4-BE49-F238E27FC236}">
              <a16:creationId xmlns:a16="http://schemas.microsoft.com/office/drawing/2014/main" id="{9ADA54B7-C376-474B-A0C5-B7396D90A319}"/>
            </a:ext>
          </a:extLst>
        </xdr:cNvPr>
        <xdr:cNvSpPr/>
      </xdr:nvSpPr>
      <xdr:spPr>
        <a:xfrm>
          <a:off x="882617" y="1223244"/>
          <a:ext cx="1209708" cy="310281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7D3AA169-AE11-4FA1-A653-82091037A01E}" type="TxLink">
            <a:rPr lang="en-US" sz="1200" b="1" i="0" u="none" strike="noStrik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algn="ctr"/>
            <a:t>203,45$</a:t>
          </a:fld>
          <a:endParaRPr lang="fr-FR" sz="1200" b="1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2</xdr:col>
      <xdr:colOff>713050</xdr:colOff>
      <xdr:row>6</xdr:row>
      <xdr:rowOff>16848</xdr:rowOff>
    </xdr:from>
    <xdr:to>
      <xdr:col>3</xdr:col>
      <xdr:colOff>546100</xdr:colOff>
      <xdr:row>9</xdr:row>
      <xdr:rowOff>48951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CF10E506-DA75-4256-913B-9A955C909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7050" y="1261448"/>
          <a:ext cx="595050" cy="641703"/>
        </a:xfrm>
        <a:prstGeom prst="rect">
          <a:avLst/>
        </a:prstGeom>
      </xdr:spPr>
    </xdr:pic>
    <xdr:clientData/>
  </xdr:twoCellAnchor>
  <xdr:twoCellAnchor editAs="oneCell">
    <xdr:from>
      <xdr:col>2</xdr:col>
      <xdr:colOff>279191</xdr:colOff>
      <xdr:row>7</xdr:row>
      <xdr:rowOff>80404</xdr:rowOff>
    </xdr:from>
    <xdr:to>
      <xdr:col>2</xdr:col>
      <xdr:colOff>632548</xdr:colOff>
      <xdr:row>9</xdr:row>
      <xdr:rowOff>40052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DD0899C9-526C-417A-8B76-74AA07329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3191" y="1528204"/>
          <a:ext cx="353357" cy="366048"/>
        </a:xfrm>
        <a:prstGeom prst="rect">
          <a:avLst/>
        </a:prstGeom>
      </xdr:spPr>
    </xdr:pic>
    <xdr:clientData/>
  </xdr:twoCellAnchor>
  <xdr:twoCellAnchor>
    <xdr:from>
      <xdr:col>0</xdr:col>
      <xdr:colOff>310244</xdr:colOff>
      <xdr:row>10</xdr:row>
      <xdr:rowOff>40684</xdr:rowOff>
    </xdr:from>
    <xdr:to>
      <xdr:col>4</xdr:col>
      <xdr:colOff>53975</xdr:colOff>
      <xdr:row>14</xdr:row>
      <xdr:rowOff>38100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6CDAA761-4DA2-4E1E-92E2-C519F3FD9663}"/>
            </a:ext>
          </a:extLst>
        </xdr:cNvPr>
        <xdr:cNvSpPr txBox="1"/>
      </xdr:nvSpPr>
      <xdr:spPr>
        <a:xfrm>
          <a:off x="310244" y="2098084"/>
          <a:ext cx="2791731" cy="810216"/>
        </a:xfrm>
        <a:prstGeom prst="roundRect">
          <a:avLst>
            <a:gd name="adj" fmla="val 6717"/>
          </a:avLst>
        </a:prstGeom>
        <a:solidFill>
          <a:schemeClr val="bg1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Les</a:t>
          </a:r>
          <a:r>
            <a:rPr lang="fr-FR" sz="12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équipements</a:t>
          </a:r>
        </a:p>
      </xdr:txBody>
    </xdr:sp>
    <xdr:clientData/>
  </xdr:twoCellAnchor>
  <xdr:twoCellAnchor>
    <xdr:from>
      <xdr:col>0</xdr:col>
      <xdr:colOff>304556</xdr:colOff>
      <xdr:row>15</xdr:row>
      <xdr:rowOff>28682</xdr:rowOff>
    </xdr:from>
    <xdr:to>
      <xdr:col>5</xdr:col>
      <xdr:colOff>149714</xdr:colOff>
      <xdr:row>17</xdr:row>
      <xdr:rowOff>65074</xdr:rowOff>
    </xdr:to>
    <xdr:sp macro="" textlink="Traitement!#REF!">
      <xdr:nvSpPr>
        <xdr:cNvPr id="18" name="Rectangle : coins arrondis 17">
          <a:extLst>
            <a:ext uri="{FF2B5EF4-FFF2-40B4-BE49-F238E27FC236}">
              <a16:creationId xmlns:a16="http://schemas.microsoft.com/office/drawing/2014/main" id="{0BFFC88C-E03B-462B-9A94-64F7FAB7BDCF}"/>
            </a:ext>
          </a:extLst>
        </xdr:cNvPr>
        <xdr:cNvSpPr/>
      </xdr:nvSpPr>
      <xdr:spPr>
        <a:xfrm>
          <a:off x="304556" y="3092034"/>
          <a:ext cx="3648180" cy="441117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fld id="{8B1E5533-F246-4DF9-89A5-F6FA8ED6E49B}" type="TxLink">
            <a:rPr lang="en-US" sz="1100" b="0" i="0" u="none" strike="noStrike">
              <a:solidFill>
                <a:srgbClr val="000000"/>
              </a:solidFill>
              <a:latin typeface="Calibri"/>
              <a:ea typeface="Tahoma" panose="020B0604030504040204" pitchFamily="34" charset="0"/>
              <a:cs typeface="Calibri"/>
            </a:rPr>
            <a:pPr algn="l"/>
            <a:t> </a:t>
          </a:fld>
          <a:endParaRPr lang="fr-FR" sz="1200" b="1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</xdr:col>
      <xdr:colOff>260526</xdr:colOff>
      <xdr:row>3</xdr:row>
      <xdr:rowOff>21459</xdr:rowOff>
    </xdr:from>
    <xdr:to>
      <xdr:col>8</xdr:col>
      <xdr:colOff>546100</xdr:colOff>
      <xdr:row>9</xdr:row>
      <xdr:rowOff>60325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7ECAB11F-652D-45E6-B0E4-17E75238EA44}"/>
            </a:ext>
          </a:extLst>
        </xdr:cNvPr>
        <xdr:cNvSpPr txBox="1"/>
      </xdr:nvSpPr>
      <xdr:spPr>
        <a:xfrm>
          <a:off x="3308526" y="656459"/>
          <a:ext cx="3333574" cy="1258066"/>
        </a:xfrm>
        <a:prstGeom prst="roundRect">
          <a:avLst>
            <a:gd name="adj" fmla="val 6717"/>
          </a:avLst>
        </a:prstGeom>
        <a:solidFill>
          <a:schemeClr val="bg1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Intervalle de confiance</a:t>
          </a:r>
        </a:p>
        <a:p>
          <a:endParaRPr lang="fr-FR" sz="1400" baseline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r>
            <a:rPr lang="fr-FR" sz="9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Précisément, nous recommandons un prix dans l'intervalle suivant : </a:t>
          </a:r>
        </a:p>
      </xdr:txBody>
    </xdr:sp>
    <xdr:clientData/>
  </xdr:twoCellAnchor>
  <xdr:twoCellAnchor>
    <xdr:from>
      <xdr:col>6</xdr:col>
      <xdr:colOff>243637</xdr:colOff>
      <xdr:row>6</xdr:row>
      <xdr:rowOff>24144</xdr:rowOff>
    </xdr:from>
    <xdr:to>
      <xdr:col>11</xdr:col>
      <xdr:colOff>755440</xdr:colOff>
      <xdr:row>9</xdr:row>
      <xdr:rowOff>149714</xdr:rowOff>
    </xdr:to>
    <xdr:sp macro="" textlink="$J$16">
      <xdr:nvSpPr>
        <xdr:cNvPr id="4" name="Rectangle : coins arrondis 3">
          <a:extLst>
            <a:ext uri="{FF2B5EF4-FFF2-40B4-BE49-F238E27FC236}">
              <a16:creationId xmlns:a16="http://schemas.microsoft.com/office/drawing/2014/main" id="{3580C838-AE09-4E52-B765-85B3818FC295}"/>
            </a:ext>
          </a:extLst>
        </xdr:cNvPr>
        <xdr:cNvSpPr/>
      </xdr:nvSpPr>
      <xdr:spPr>
        <a:xfrm>
          <a:off x="4807263" y="1266232"/>
          <a:ext cx="4314825" cy="732658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fld id="{ADC7FE21-5EFA-4D53-A8FF-50FA942403B4}" type="TxLink">
            <a:rPr lang="en-US" sz="2200" b="0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pPr algn="l"/>
            <a:t> </a:t>
          </a:fld>
          <a:endParaRPr lang="fr-FR" sz="1400" b="1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6</xdr:col>
      <xdr:colOff>735180</xdr:colOff>
      <xdr:row>7</xdr:row>
      <xdr:rowOff>38566</xdr:rowOff>
    </xdr:from>
    <xdr:to>
      <xdr:col>7</xdr:col>
      <xdr:colOff>165275</xdr:colOff>
      <xdr:row>8</xdr:row>
      <xdr:rowOff>20828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DF29C40-1F16-9709-A55D-C0DFBEEE5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7180" y="1486366"/>
          <a:ext cx="192095" cy="185462"/>
        </a:xfrm>
        <a:prstGeom prst="rect">
          <a:avLst/>
        </a:prstGeom>
      </xdr:spPr>
    </xdr:pic>
    <xdr:clientData/>
  </xdr:twoCellAnchor>
  <xdr:twoCellAnchor>
    <xdr:from>
      <xdr:col>4</xdr:col>
      <xdr:colOff>355600</xdr:colOff>
      <xdr:row>6</xdr:row>
      <xdr:rowOff>114231</xdr:rowOff>
    </xdr:from>
    <xdr:to>
      <xdr:col>5</xdr:col>
      <xdr:colOff>588073</xdr:colOff>
      <xdr:row>8</xdr:row>
      <xdr:rowOff>153798</xdr:rowOff>
    </xdr:to>
    <xdr:sp macro="" textlink="Traitement!J6">
      <xdr:nvSpPr>
        <xdr:cNvPr id="9" name="Rectangle : coins arrondis 8">
          <a:extLst>
            <a:ext uri="{FF2B5EF4-FFF2-40B4-BE49-F238E27FC236}">
              <a16:creationId xmlns:a16="http://schemas.microsoft.com/office/drawing/2014/main" id="{CF2B6514-3C27-4491-BB1C-60989E6F3ED3}"/>
            </a:ext>
          </a:extLst>
        </xdr:cNvPr>
        <xdr:cNvSpPr/>
      </xdr:nvSpPr>
      <xdr:spPr>
        <a:xfrm>
          <a:off x="3403600" y="1358831"/>
          <a:ext cx="994473" cy="445967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fld id="{AB13D514-486C-4DE5-B993-12F56CA0D23C}" type="TxLink">
            <a:rPr lang="en-US" sz="1200" b="1" i="0" u="none" strike="noStrike">
              <a:solidFill>
                <a:srgbClr val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algn="r"/>
            <a:t>184,76 $</a:t>
          </a:fld>
          <a:endParaRPr lang="fr-FR" sz="1200" b="1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7</xdr:col>
      <xdr:colOff>202146</xdr:colOff>
      <xdr:row>6</xdr:row>
      <xdr:rowOff>95984</xdr:rowOff>
    </xdr:from>
    <xdr:to>
      <xdr:col>8</xdr:col>
      <xdr:colOff>469900</xdr:colOff>
      <xdr:row>8</xdr:row>
      <xdr:rowOff>171314</xdr:rowOff>
    </xdr:to>
    <xdr:sp macro="" textlink="Traitement!J7">
      <xdr:nvSpPr>
        <xdr:cNvPr id="10" name="Rectangle : coins arrondis 9">
          <a:extLst>
            <a:ext uri="{FF2B5EF4-FFF2-40B4-BE49-F238E27FC236}">
              <a16:creationId xmlns:a16="http://schemas.microsoft.com/office/drawing/2014/main" id="{CD566560-261D-4D06-9564-3CB699D4989C}"/>
            </a:ext>
          </a:extLst>
        </xdr:cNvPr>
        <xdr:cNvSpPr/>
      </xdr:nvSpPr>
      <xdr:spPr>
        <a:xfrm>
          <a:off x="5536146" y="1340584"/>
          <a:ext cx="1029754" cy="481730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fld id="{8BFF8A51-CFF7-421F-858A-F0EAD96A61BA}" type="TxLink">
            <a:rPr lang="en-US" sz="1200" b="1" i="0" u="none" strike="noStrike">
              <a:solidFill>
                <a:srgbClr val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algn="l"/>
            <a:t>224,03 $</a:t>
          </a:fld>
          <a:endParaRPr lang="fr-FR" sz="1200" b="1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6</xdr:col>
      <xdr:colOff>164246</xdr:colOff>
      <xdr:row>6</xdr:row>
      <xdr:rowOff>172173</xdr:rowOff>
    </xdr:from>
    <xdr:to>
      <xdr:col>6</xdr:col>
      <xdr:colOff>585702</xdr:colOff>
      <xdr:row>9</xdr:row>
      <xdr:rowOff>3699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B00EFE94-85A1-8029-CFD6-45462A1D8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36246" y="1416773"/>
          <a:ext cx="421456" cy="441126"/>
        </a:xfrm>
        <a:prstGeom prst="rect">
          <a:avLst/>
        </a:prstGeom>
      </xdr:spPr>
    </xdr:pic>
    <xdr:clientData/>
  </xdr:twoCellAnchor>
  <xdr:twoCellAnchor editAs="oneCell">
    <xdr:from>
      <xdr:col>5</xdr:col>
      <xdr:colOff>584343</xdr:colOff>
      <xdr:row>7</xdr:row>
      <xdr:rowOff>41275</xdr:rowOff>
    </xdr:from>
    <xdr:to>
      <xdr:col>6</xdr:col>
      <xdr:colOff>31196</xdr:colOff>
      <xdr:row>8</xdr:row>
      <xdr:rowOff>38761</xdr:rowOff>
    </xdr:to>
    <xdr:pic>
      <xdr:nvPicPr>
        <xdr:cNvPr id="22" name="Image 21">
          <a:extLst>
            <a:ext uri="{FF2B5EF4-FFF2-40B4-BE49-F238E27FC236}">
              <a16:creationId xmlns:a16="http://schemas.microsoft.com/office/drawing/2014/main" id="{2EB3C661-60C7-4898-9B38-341D6F04E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343" y="1489075"/>
          <a:ext cx="208853" cy="200686"/>
        </a:xfrm>
        <a:prstGeom prst="rect">
          <a:avLst/>
        </a:prstGeom>
      </xdr:spPr>
    </xdr:pic>
    <xdr:clientData/>
  </xdr:twoCellAnchor>
  <xdr:twoCellAnchor>
    <xdr:from>
      <xdr:col>4</xdr:col>
      <xdr:colOff>244021</xdr:colOff>
      <xdr:row>9</xdr:row>
      <xdr:rowOff>186071</xdr:rowOff>
    </xdr:from>
    <xdr:to>
      <xdr:col>8</xdr:col>
      <xdr:colOff>530225</xdr:colOff>
      <xdr:row>15</xdr:row>
      <xdr:rowOff>63500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6F61CE0D-0D2E-484C-BE4C-70E6B515CB41}"/>
            </a:ext>
          </a:extLst>
        </xdr:cNvPr>
        <xdr:cNvSpPr txBox="1"/>
      </xdr:nvSpPr>
      <xdr:spPr>
        <a:xfrm>
          <a:off x="3292021" y="2040271"/>
          <a:ext cx="3334204" cy="1096629"/>
        </a:xfrm>
        <a:prstGeom prst="roundRect">
          <a:avLst>
            <a:gd name="adj" fmla="val 6717"/>
          </a:avLst>
        </a:prstGeom>
        <a:solidFill>
          <a:srgbClr val="70A6E8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Prix</a:t>
          </a:r>
          <a:r>
            <a:rPr lang="fr-FR" sz="120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moyen et nombre </a:t>
          </a:r>
        </a:p>
        <a:p>
          <a:endParaRPr lang="fr-FR" sz="1400" baseline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</xdr:col>
      <xdr:colOff>249463</xdr:colOff>
      <xdr:row>11</xdr:row>
      <xdr:rowOff>60326</xdr:rowOff>
    </xdr:from>
    <xdr:to>
      <xdr:col>8</xdr:col>
      <xdr:colOff>346074</xdr:colOff>
      <xdr:row>13</xdr:row>
      <xdr:rowOff>22652</xdr:rowOff>
    </xdr:to>
    <xdr:sp macro="" textlink="Traitement!B4">
      <xdr:nvSpPr>
        <xdr:cNvPr id="23" name="ZoneTexte 22">
          <a:extLst>
            <a:ext uri="{FF2B5EF4-FFF2-40B4-BE49-F238E27FC236}">
              <a16:creationId xmlns:a16="http://schemas.microsoft.com/office/drawing/2014/main" id="{31CD97CC-1B18-CE5A-5681-9A52FD478CF9}"/>
            </a:ext>
          </a:extLst>
        </xdr:cNvPr>
        <xdr:cNvSpPr txBox="1"/>
      </xdr:nvSpPr>
      <xdr:spPr>
        <a:xfrm>
          <a:off x="3297463" y="2320926"/>
          <a:ext cx="3144611" cy="3687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531D2B53-76FD-4A59-9D9B-E1746D25AAC5}" type="TxLink">
            <a:rPr lang="en-US" sz="900" b="0" i="0" u="none" strike="noStrik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/>
            <a:t>Dans le 2eme arrondissement, le prix moyen d'une nuit dans un AirBNB est ...</a:t>
          </a:fld>
          <a:endParaRPr lang="fr-FR" sz="90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2</xdr:col>
      <xdr:colOff>713613</xdr:colOff>
      <xdr:row>12</xdr:row>
      <xdr:rowOff>64233</xdr:rowOff>
    </xdr:from>
    <xdr:to>
      <xdr:col>3</xdr:col>
      <xdr:colOff>314608</xdr:colOff>
      <xdr:row>14</xdr:row>
      <xdr:rowOff>40485</xdr:rowOff>
    </xdr:to>
    <xdr:pic>
      <xdr:nvPicPr>
        <xdr:cNvPr id="20" name="Image 19">
          <a:extLst>
            <a:ext uri="{FF2B5EF4-FFF2-40B4-BE49-F238E27FC236}">
              <a16:creationId xmlns:a16="http://schemas.microsoft.com/office/drawing/2014/main" id="{A561294D-3B04-449F-A89D-D69D6A8D49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7613" y="2528033"/>
          <a:ext cx="362995" cy="382652"/>
        </a:xfrm>
        <a:prstGeom prst="rect">
          <a:avLst/>
        </a:prstGeom>
      </xdr:spPr>
    </xdr:pic>
    <xdr:clientData/>
  </xdr:twoCellAnchor>
  <xdr:twoCellAnchor>
    <xdr:from>
      <xdr:col>8</xdr:col>
      <xdr:colOff>739775</xdr:colOff>
      <xdr:row>2</xdr:row>
      <xdr:rowOff>158750</xdr:rowOff>
    </xdr:from>
    <xdr:to>
      <xdr:col>13</xdr:col>
      <xdr:colOff>492125</xdr:colOff>
      <xdr:row>18</xdr:row>
      <xdr:rowOff>193676</xdr:rowOff>
    </xdr:to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2C65B981-01E2-4C0E-909E-E97D717D0F12}"/>
            </a:ext>
          </a:extLst>
        </xdr:cNvPr>
        <xdr:cNvSpPr txBox="1"/>
      </xdr:nvSpPr>
      <xdr:spPr>
        <a:xfrm>
          <a:off x="6835775" y="590550"/>
          <a:ext cx="3562350" cy="3286126"/>
        </a:xfrm>
        <a:prstGeom prst="roundRect">
          <a:avLst>
            <a:gd name="adj" fmla="val 3839"/>
          </a:avLst>
        </a:prstGeom>
        <a:solidFill>
          <a:schemeClr val="bg1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Nombre de logements par quartier</a:t>
          </a:r>
        </a:p>
        <a:p>
          <a:endParaRPr lang="fr-FR" sz="1200" baseline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r>
            <a:rPr lang="fr-FR" sz="8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Certain quartier propose déjà un numbre important de AirBNB ...</a:t>
          </a:r>
        </a:p>
      </xdr:txBody>
    </xdr:sp>
    <xdr:clientData/>
  </xdr:twoCellAnchor>
  <xdr:twoCellAnchor editAs="oneCell">
    <xdr:from>
      <xdr:col>9</xdr:col>
      <xdr:colOff>248593</xdr:colOff>
      <xdr:row>6</xdr:row>
      <xdr:rowOff>142874</xdr:rowOff>
    </xdr:from>
    <xdr:to>
      <xdr:col>13</xdr:col>
      <xdr:colOff>419100</xdr:colOff>
      <xdr:row>18</xdr:row>
      <xdr:rowOff>86474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09" b="1"/>
        <a:stretch/>
      </xdr:blipFill>
      <xdr:spPr bwMode="auto">
        <a:xfrm>
          <a:off x="7106593" y="1387474"/>
          <a:ext cx="3218507" cy="2382000"/>
        </a:xfrm>
        <a:prstGeom prst="roundRect">
          <a:avLst>
            <a:gd name="adj" fmla="val 0"/>
          </a:avLst>
        </a:prstGeom>
        <a:ln>
          <a:noFill/>
        </a:ln>
        <a:effectLst/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378457</xdr:colOff>
      <xdr:row>12</xdr:row>
      <xdr:rowOff>64743</xdr:rowOff>
    </xdr:from>
    <xdr:to>
      <xdr:col>4</xdr:col>
      <xdr:colOff>3176</xdr:colOff>
      <xdr:row>14</xdr:row>
      <xdr:rowOff>64796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C1351AD9-730F-4302-ADD6-799F3146BE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lum bright="70000" contrast="-70000"/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colorTemperature colorTemp="338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4457" y="2528543"/>
          <a:ext cx="386719" cy="406453"/>
        </a:xfrm>
        <a:prstGeom prst="rect">
          <a:avLst/>
        </a:prstGeom>
      </xdr:spPr>
    </xdr:pic>
    <xdr:clientData/>
  </xdr:twoCellAnchor>
  <xdr:twoCellAnchor>
    <xdr:from>
      <xdr:col>0</xdr:col>
      <xdr:colOff>319314</xdr:colOff>
      <xdr:row>11</xdr:row>
      <xdr:rowOff>97064</xdr:rowOff>
    </xdr:from>
    <xdr:to>
      <xdr:col>3</xdr:col>
      <xdr:colOff>701675</xdr:colOff>
      <xdr:row>13</xdr:row>
      <xdr:rowOff>42182</xdr:rowOff>
    </xdr:to>
    <xdr:sp macro="" textlink="Traitement!B3">
      <xdr:nvSpPr>
        <xdr:cNvPr id="24" name="ZoneTexte 23">
          <a:extLst>
            <a:ext uri="{FF2B5EF4-FFF2-40B4-BE49-F238E27FC236}">
              <a16:creationId xmlns:a16="http://schemas.microsoft.com/office/drawing/2014/main" id="{777C8A92-8C3D-4104-A573-383A61BECA94}"/>
            </a:ext>
          </a:extLst>
        </xdr:cNvPr>
        <xdr:cNvSpPr txBox="1"/>
      </xdr:nvSpPr>
      <xdr:spPr>
        <a:xfrm>
          <a:off x="319314" y="2357664"/>
          <a:ext cx="2668361" cy="3515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026FFAD-BA40-43B8-9177-650BCD37C63B}" type="TxLink">
            <a:rPr lang="en-US" sz="900" b="0" i="0" u="none" strike="noStrike">
              <a:solidFill>
                <a:srgbClr val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/>
            <a:t>Vous proposez 2équipements sur 36.</a:t>
          </a:fld>
          <a:endParaRPr lang="fr-FR" sz="9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7</xdr:col>
      <xdr:colOff>516539</xdr:colOff>
      <xdr:row>12</xdr:row>
      <xdr:rowOff>83359</xdr:rowOff>
    </xdr:from>
    <xdr:to>
      <xdr:col>8</xdr:col>
      <xdr:colOff>365125</xdr:colOff>
      <xdr:row>15</xdr:row>
      <xdr:rowOff>85420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D6B3D384-88B6-6E33-9BD5-B8E6E5DEC3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0539" y="2547159"/>
          <a:ext cx="610586" cy="611661"/>
        </a:xfrm>
        <a:prstGeom prst="rect">
          <a:avLst/>
        </a:prstGeom>
      </xdr:spPr>
    </xdr:pic>
    <xdr:clientData/>
  </xdr:twoCellAnchor>
  <xdr:twoCellAnchor>
    <xdr:from>
      <xdr:col>5</xdr:col>
      <xdr:colOff>495267</xdr:colOff>
      <xdr:row>13</xdr:row>
      <xdr:rowOff>35794</xdr:rowOff>
    </xdr:from>
    <xdr:to>
      <xdr:col>7</xdr:col>
      <xdr:colOff>174625</xdr:colOff>
      <xdr:row>14</xdr:row>
      <xdr:rowOff>180975</xdr:rowOff>
    </xdr:to>
    <xdr:sp macro="" textlink="Traitement!J9">
      <xdr:nvSpPr>
        <xdr:cNvPr id="29" name="Rectangle : coins arrondis 28">
          <a:extLst>
            <a:ext uri="{FF2B5EF4-FFF2-40B4-BE49-F238E27FC236}">
              <a16:creationId xmlns:a16="http://schemas.microsoft.com/office/drawing/2014/main" id="{14BF5B08-D258-4669-86D6-2922F5A9B453}"/>
            </a:ext>
          </a:extLst>
        </xdr:cNvPr>
        <xdr:cNvSpPr/>
      </xdr:nvSpPr>
      <xdr:spPr>
        <a:xfrm>
          <a:off x="4305267" y="2702794"/>
          <a:ext cx="1203358" cy="348381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EBB142E4-9D0A-4A36-B7B4-EE0E41EE083F}" type="TxLink">
            <a:rPr lang="en-US" sz="1200" b="1" i="0" u="none" strike="noStrik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260,45 $</a:t>
          </a:fld>
          <a:endParaRPr lang="fr-FR" sz="1200" b="1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412750</xdr:colOff>
      <xdr:row>7</xdr:row>
      <xdr:rowOff>34925</xdr:rowOff>
    </xdr:from>
    <xdr:to>
      <xdr:col>3</xdr:col>
      <xdr:colOff>523875</xdr:colOff>
      <xdr:row>9</xdr:row>
      <xdr:rowOff>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129C6D82-867A-8433-0828-8A6643F3C92A}"/>
            </a:ext>
          </a:extLst>
        </xdr:cNvPr>
        <xdr:cNvSpPr txBox="1"/>
      </xdr:nvSpPr>
      <xdr:spPr>
        <a:xfrm>
          <a:off x="412750" y="1939925"/>
          <a:ext cx="3692525" cy="35877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400" b="1"/>
            <a:t>Preparation average per neighbourhood</a:t>
          </a:r>
        </a:p>
      </xdr:txBody>
    </xdr:sp>
    <xdr:clientData/>
  </xdr:twoCellAnchor>
  <xdr:twoCellAnchor>
    <xdr:from>
      <xdr:col>1</xdr:col>
      <xdr:colOff>174624</xdr:colOff>
      <xdr:row>0</xdr:row>
      <xdr:rowOff>85725</xdr:rowOff>
    </xdr:from>
    <xdr:to>
      <xdr:col>1</xdr:col>
      <xdr:colOff>2171700</xdr:colOff>
      <xdr:row>1</xdr:row>
      <xdr:rowOff>200025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6B37E80D-258A-4294-B3E1-8057B475B2F1}"/>
            </a:ext>
          </a:extLst>
        </xdr:cNvPr>
        <xdr:cNvSpPr txBox="1"/>
      </xdr:nvSpPr>
      <xdr:spPr>
        <a:xfrm>
          <a:off x="1755774" y="85725"/>
          <a:ext cx="1997076" cy="3048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400" b="1"/>
            <a:t>Sentence Preparation </a:t>
          </a:r>
        </a:p>
      </xdr:txBody>
    </xdr:sp>
    <xdr:clientData/>
  </xdr:twoCellAnchor>
  <xdr:twoCellAnchor>
    <xdr:from>
      <xdr:col>7</xdr:col>
      <xdr:colOff>244474</xdr:colOff>
      <xdr:row>0</xdr:row>
      <xdr:rowOff>114300</xdr:rowOff>
    </xdr:from>
    <xdr:to>
      <xdr:col>9</xdr:col>
      <xdr:colOff>542924</xdr:colOff>
      <xdr:row>2</xdr:row>
      <xdr:rowOff>3175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CFA0866E-94B8-4513-AB0C-31F44599BB79}"/>
            </a:ext>
          </a:extLst>
        </xdr:cNvPr>
        <xdr:cNvSpPr txBox="1"/>
      </xdr:nvSpPr>
      <xdr:spPr>
        <a:xfrm>
          <a:off x="7997824" y="114300"/>
          <a:ext cx="2260600" cy="28257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400" b="1"/>
            <a:t>Value Preparation 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DEB0365-E448-4934-A8E7-ECB335C5AF85}" name="Tableau4" displayName="Tableau4" ref="B1:BY3" totalsRowShown="0" dataDxfId="76">
  <autoFilter ref="B1:BY3" xr:uid="{2DEB0365-E448-4934-A8E7-ECB335C5AF85}"/>
  <tableColumns count="76">
    <tableColumn id="1" xr3:uid="{684A906C-671F-41CF-B0DF-92B8C10FE190}" name="accommodates" dataDxfId="75"/>
    <tableColumn id="8" xr3:uid="{090347DD-0940-4B3C-A7A9-33A5968C3D35}" name="bathrooms" dataDxfId="74"/>
    <tableColumn id="2" xr3:uid="{809363AA-E47E-4735-AF91-F5380B70F83E}" name="beds" dataDxfId="73"/>
    <tableColumn id="9" xr3:uid="{E7110CB5-2366-4B39-AA2A-8E23B78D0E99}" name="Dishwasher" dataDxfId="72"/>
    <tableColumn id="3" xr3:uid="{9FA9C220-E8D2-40A4-8053-C0F1E1A5FEED}" name="Coffee" dataDxfId="71"/>
    <tableColumn id="4" xr3:uid="{F614A784-A533-4D58-8A8A-8204919CA520}" name="Coffee maker" dataDxfId="70"/>
    <tableColumn id="5" xr3:uid="{BB5750F6-322A-4D8C-BE09-9D238ADCB176}" name="Bed linens" dataDxfId="69"/>
    <tableColumn id="6" xr3:uid="{4C0A715A-359F-417B-BA75-ED062CC80892}" name="Hot water kettle" dataDxfId="68"/>
    <tableColumn id="7" xr3:uid="{1400E511-BE93-489F-88DB-86696D869C18}" name="Crib" dataDxfId="67"/>
    <tableColumn id="10" xr3:uid="{53287ED5-0D25-4250-9BE9-EF982484F8AC}" name="Wine glasses" dataDxfId="66"/>
    <tableColumn id="11" xr3:uid="{712633DF-A6A4-4836-AF73-F9BAFE351492}" name="Toaster" dataDxfId="65"/>
    <tableColumn id="12" xr3:uid="{5F1FEA49-3F3D-48C6-8AE4-075714BC2C2B}" name="Freezer" dataDxfId="64"/>
    <tableColumn id="13" xr3:uid="{2E7DA36F-1E51-4E08-9792-9915E94F0A2E}" name="Refrigerator" dataDxfId="63"/>
    <tableColumn id="14" xr3:uid="{FFFBEDAD-1417-4D52-BAF1-3987477415AC}" name="Air conditioning" dataDxfId="62"/>
    <tableColumn id="15" xr3:uid="{DEBCB502-4A69-4710-B706-9E2E9ED149C4}" name="TV" dataDxfId="61"/>
    <tableColumn id="16" xr3:uid="{CBAF676E-82E9-4DED-9B8A-7A395B1FA8B7}" name="Dining table" dataDxfId="60"/>
    <tableColumn id="17" xr3:uid="{96809AC5-6A65-4177-B8B8-84CB6119D535}" name="Oven" dataDxfId="59"/>
    <tableColumn id="18" xr3:uid="{66CFD132-D332-43A2-BF0C-AFE8ECBEA31D}" name="Cleaning products" dataDxfId="58"/>
    <tableColumn id="19" xr3:uid="{63C436FC-A490-4E3A-8AF9-69DC52410A78}" name="Microwave" dataDxfId="57"/>
    <tableColumn id="73" xr3:uid="{2FFA3570-E988-4C8D-BD79-0FEFA8E7879E}" name="Hot water" dataDxfId="56"/>
    <tableColumn id="21" xr3:uid="{D61A8FC0-DE06-4BE9-AFCE-BAA89EDFD6D4}" name="Dishes and silverware" dataDxfId="55"/>
    <tableColumn id="22" xr3:uid="{DFD3A327-56AA-4566-B460-545AE2085F44}" name="Cooking basics" dataDxfId="54"/>
    <tableColumn id="23" xr3:uid="{8A4D1230-B993-4EA9-9020-0A73A6FD041E}" name="Self check-in" dataDxfId="53"/>
    <tableColumn id="24" xr3:uid="{EDE5EB89-E5CE-4725-8A14-19501B48F477}" name="Dedicated workspace" dataDxfId="52"/>
    <tableColumn id="25" xr3:uid="{337BDFEB-6D7F-4894-99B0-AFB8BF5AD589}" name="Hair dryer" dataDxfId="51"/>
    <tableColumn id="26" xr3:uid="{F10ED563-419A-477A-93D4-511FAAF9A97E}" name="Clothing storage" dataDxfId="50"/>
    <tableColumn id="27" xr3:uid="{46EC37D9-14F8-4EC3-A480-BDCCED5DAB04}" name="Baking sheet" dataDxfId="49"/>
    <tableColumn id="28" xr3:uid="{D76E05EE-055F-453E-9F8A-C8A01CBB5C82}" name="Shower gel" dataDxfId="48"/>
    <tableColumn id="29" xr3:uid="{C0E0EA11-BBE8-4B00-9F12-F634E14DDE8E}" name="Dryer" dataDxfId="47"/>
    <tableColumn id="74" xr3:uid="{AED96BD2-213A-484A-A2B8-E207E092A838}" name="Body soap" dataDxfId="46">
      <calculatedColumnFormula>Tableau4[[#This Row],[Shower gel]]</calculatedColumnFormula>
    </tableColumn>
    <tableColumn id="75" xr3:uid="{2A16966E-4396-45E6-B918-7DF14A66E615}" name="Drying rack for clothing" dataDxfId="45">
      <calculatedColumnFormula>Tableau4[[#This Row],[Dryer]]</calculatedColumnFormula>
    </tableColumn>
    <tableColumn id="30" xr3:uid="{99E88F38-DC08-4488-A380-A12A7157E2FF}" name="Iron" dataDxfId="44"/>
    <tableColumn id="76" xr3:uid="{CE1B5C0C-7FEE-42ED-9409-138BEC61A1A3}" name="Free dryer" dataDxfId="43">
      <calculatedColumnFormula>Tableau4[[#This Row],[Drying rack for clothing]]</calculatedColumnFormula>
    </tableColumn>
    <tableColumn id="31" xr3:uid="{468F4A40-E403-4438-9A69-6DCEF95C799B}" name="Bathtub" dataDxfId="42"/>
    <tableColumn id="32" xr3:uid="{3E50C910-973B-46BD-9367-0935F6967B1E}" name="Fire extinguisher" dataDxfId="41"/>
    <tableColumn id="33" xr3:uid="{0F6E2B0E-3214-4A25-B701-E186DED8669F}" name="Free washer" dataDxfId="40"/>
    <tableColumn id="34" xr3:uid="{700687BB-B926-4318-B9B8-1D715B9F8BAF}" name="Carbon monoxide alarm" dataDxfId="39"/>
    <tableColumn id="35" xr3:uid="{6F79B386-4C2B-4BC2-B54F-B8FE4A4C42BA}" name="Building staff" dataDxfId="38"/>
    <tableColumn id="36" xr3:uid="{76095C12-1C37-47EF-815A-F1638F37FDF6}" name="Books and reading material" dataDxfId="37"/>
    <tableColumn id="37" xr3:uid="{F197EEEB-609C-429E-8A15-4B8D7C6020EA}" name="closet" dataDxfId="36">
      <calculatedColumnFormula>Tableau4[[#This Row],[Clothing storage]]</calculatedColumnFormula>
    </tableColumn>
    <tableColumn id="38" xr3:uid="{B65FB4A3-20BC-4278-818F-828357D33835}" name="accommodates_squared" dataDxfId="35">
      <calculatedColumnFormula>Tableau4[[#This Row],[accommodates]]^2</calculatedColumnFormula>
    </tableColumn>
    <tableColumn id="77" xr3:uid="{140663D3-3B8F-4448-9DE8-A9B8673DAE3A}" name="bedrooms_squared" dataDxfId="34"/>
    <tableColumn id="78" xr3:uid="{F8387F5F-B242-43ED-B190-657EEE3BA87D}" name="bathrooms_squared" dataDxfId="33">
      <calculatedColumnFormula>Tableau4[[#This Row],[bathrooms]]^2</calculatedColumnFormula>
    </tableColumn>
    <tableColumn id="39" xr3:uid="{DC1AD785-6138-4546-B7C1-C9B771D27304}" name="beds_squared" dataDxfId="32">
      <calculatedColumnFormula>Tableau4[[#This Row],[beds]]^2</calculatedColumnFormula>
    </tableColumn>
    <tableColumn id="40" xr3:uid="{28AB5B42-0353-4475-BE1C-C9B88DA998A8}" name="neighbourhood_cleansed_Batignolles_Monceau" dataDxfId="31"/>
    <tableColumn id="41" xr3:uid="{9511FF1F-4260-483E-B0F2-A4872D38E019}" name="neighbourhood_cleansed_Bourse" dataDxfId="30"/>
    <tableColumn id="42" xr3:uid="{5EE6E333-224A-49FF-AE5D-3DAAC45FF3D3}" name="neighbourhood_cleansed_Buttes-Chaumont" dataDxfId="29"/>
    <tableColumn id="43" xr3:uid="{4C243AF9-BE32-43C6-928E-EAFFFD508569}" name="neighbourhood_cleansed_Buttes-Montmartre" dataDxfId="28"/>
    <tableColumn id="44" xr3:uid="{13444BCD-1F00-4162-B339-CD3A7C49FAD4}" name="neighbourhood_cleansed_Entrepôt" dataDxfId="27"/>
    <tableColumn id="45" xr3:uid="{3E8E42A1-2BC9-462E-A994-065E970B739B}" name="neighbourhood_cleansed_Gobelins" dataDxfId="26"/>
    <tableColumn id="46" xr3:uid="{7B249CA4-7CCA-4CAF-8E8D-D4850CCBCD8C}" name="neighbourhood_cleansed_Hôtel-de-Ville" dataDxfId="25"/>
    <tableColumn id="47" xr3:uid="{A04B0801-74A5-454B-9E71-4042B7325C81}" name="neighbourhood_cleansed_Louvre" dataDxfId="24"/>
    <tableColumn id="48" xr3:uid="{34F3390D-4FF8-4448-822D-4C6A30BC56D6}" name="neighbourhood_cleansed_Luxembourg" dataDxfId="23"/>
    <tableColumn id="49" xr3:uid="{F000BEC8-6976-4C0D-A1D8-5FF22F9D7757}" name="neighbourhood_cleansed_Ménilmontant" dataDxfId="22"/>
    <tableColumn id="50" xr3:uid="{34B4D596-7248-4A13-895B-ABD6B30DFDE5}" name="neighbourhood_cleansed_Observatoire" dataDxfId="21"/>
    <tableColumn id="51" xr3:uid="{1C8F6A85-42B5-49BD-9C93-BD2E7896430B}" name="neighbourhood_cleansed_Opéra" dataDxfId="20"/>
    <tableColumn id="52" xr3:uid="{2C009553-8E69-4383-A3C9-BFC6407B072E}" name="neighbourhood_cleansed_Palais-Bourbon" dataDxfId="19"/>
    <tableColumn id="53" xr3:uid="{0712F701-3FBA-4D89-BC20-A4C90B7243BC}" name="neighbourhood_cleansed_Panthéon" dataDxfId="18"/>
    <tableColumn id="54" xr3:uid="{BF48E10C-57DA-4114-98B7-4295B2B179ED}" name="neighbourhood_cleansed_Passy" dataDxfId="17"/>
    <tableColumn id="55" xr3:uid="{24F1D10F-D2C5-49E3-8BE5-6B6F4E231EC8}" name="neighbourhood_cleansed_Popincourt" dataDxfId="16"/>
    <tableColumn id="56" xr3:uid="{313441FB-22D0-4623-8348-1B5E0991F092}" name="neighbourhood_cleansed_Reuilly" dataDxfId="15"/>
    <tableColumn id="57" xr3:uid="{07E3F9BA-1C8C-4315-A0C0-0A6FADF47404}" name="neighbourhood_cleansed_Temple" dataDxfId="14"/>
    <tableColumn id="58" xr3:uid="{4657BA8C-C75A-4812-9B98-A7185DFABE27}" name="neighbourhood_cleansed_Vaugirard" dataDxfId="13"/>
    <tableColumn id="59" xr3:uid="{2DDAC467-37A4-42D9-AB2E-8960B4AA8FDF}" name="neighbourhood_cleansed_Élysée" dataDxfId="12"/>
    <tableColumn id="60" xr3:uid="{1E2709DB-E0F3-4F13-B52E-E727F1DB78F0}" name="property_type_Entire condo" dataDxfId="11"/>
    <tableColumn id="61" xr3:uid="{C5B48FD5-C531-40CB-800B-AA50EEE09889}" name="property_type_Entire rental unit" dataDxfId="10"/>
    <tableColumn id="62" xr3:uid="{8E75A02C-7A83-47F3-96DE-6949B8F8F2C9}" name="property_type_Entire serviced apartment" dataDxfId="9"/>
    <tableColumn id="63" xr3:uid="{A9D18C72-723B-44BE-AF5D-D92FC2E1D879}" name="property_type_Entire townhouse" dataDxfId="8"/>
    <tableColumn id="65" xr3:uid="{06BFE305-9438-41BE-9888-A434D067DDEA}" name="property_type_Private room in guesthouse" dataDxfId="7"/>
    <tableColumn id="66" xr3:uid="{61F6129E-A9AF-4DAC-BFFF-D03D78B4443B}" name="property_type_Private room in hostel" dataDxfId="6"/>
    <tableColumn id="67" xr3:uid="{557EF928-1FE3-4772-917F-E88D816E5253}" name="property_type_Private room in loft" dataDxfId="5"/>
    <tableColumn id="68" xr3:uid="{0F415C48-FAB2-4439-8CB5-9214DD4C344D}" name="property_type_Private room in rental unit" dataDxfId="4"/>
    <tableColumn id="69" xr3:uid="{A2ED5ECD-6608-4A81-9520-A0CD2586C2A9}" name="property_type_Room in boutique hotel " dataDxfId="3"/>
    <tableColumn id="70" xr3:uid="{8F91DFE5-BFA9-4187-B5FC-77C3AAB07A88}" name="property_type_Room in hotel " dataDxfId="2"/>
    <tableColumn id="71" xr3:uid="{776F633B-6CEB-4371-8F39-9221A2162ACE}" name="property_type_Hotel room" dataDxfId="1"/>
    <tableColumn id="72" xr3:uid="{8D0292DB-0F62-4737-A03F-45B83E4114E9}" name="property_type_Private room" dataDxfId="0"/>
  </tableColumns>
  <tableStyleInfo name="TableStyleLight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4241E4-9E86-4775-89A1-080C9592C490}" name="tabNum" displayName="tabNum" ref="A1:A12" totalsRowShown="0">
  <autoFilter ref="A1:A12" xr:uid="{8B4241E4-9E86-4775-89A1-080C9592C490}"/>
  <sortState xmlns:xlrd2="http://schemas.microsoft.com/office/spreadsheetml/2017/richdata2" ref="A2:A12">
    <sortCondition ref="A1:A12"/>
  </sortState>
  <tableColumns count="1">
    <tableColumn id="1" xr3:uid="{20B22873-B7CC-4529-BAAD-2852058ABDC2}" name="de 0 à 10"/>
  </tableColumns>
  <tableStyleInfo name="TableStyleLight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6CF65C5-F847-4ACB-979D-CEA1024DAFBD}" name="tabTypeCouchage" displayName="tabTypeCouchage" ref="B1:B6" totalsRowShown="0">
  <autoFilter ref="B1:B6" xr:uid="{26CF65C5-F847-4ACB-979D-CEA1024DAFBD}"/>
  <sortState xmlns:xlrd2="http://schemas.microsoft.com/office/spreadsheetml/2017/richdata2" ref="B2:B5">
    <sortCondition ref="B1:B5"/>
  </sortState>
  <tableColumns count="1">
    <tableColumn id="1" xr3:uid="{EC73E858-4DBC-456E-83E0-0E2574E17153}" name="type de couchage"/>
  </tableColumns>
  <tableStyleInfo name="TableStyleLight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F01229-1866-4ABF-BFD0-888D59B63DCB}" name="TabTypeLogement" displayName="TabTypeLogement" ref="C1:C26" totalsRowShown="0">
  <autoFilter ref="C1:C26" xr:uid="{09F01229-1866-4ABF-BFD0-888D59B63DCB}"/>
  <sortState xmlns:xlrd2="http://schemas.microsoft.com/office/spreadsheetml/2017/richdata2" ref="C2:C25">
    <sortCondition ref="C1:C25"/>
  </sortState>
  <tableColumns count="1">
    <tableColumn id="1" xr3:uid="{2D1570B9-C565-4EC7-AA68-86B321B5A3EB}" name="type de structure"/>
  </tableColumns>
  <tableStyleInfo name="TableStyleLight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52EA75-DE71-4B52-87B6-73822A1CA7D0}" name="tabNum6" displayName="tabNum6" ref="D1:D6" totalsRowShown="0">
  <autoFilter ref="D1:D6" xr:uid="{5752EA75-DE71-4B52-87B6-73822A1CA7D0}"/>
  <sortState xmlns:xlrd2="http://schemas.microsoft.com/office/spreadsheetml/2017/richdata2" ref="D2:D12">
    <sortCondition ref="D1:D12"/>
  </sortState>
  <tableColumns count="1">
    <tableColumn id="1" xr3:uid="{58B23F74-F8C4-465F-B369-7E3E95CE8CD9}" name="Politique d'annulation"/>
  </tableColumns>
  <tableStyleInfo name="TableStyleLight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FDE44B9-DF4D-4A29-80D9-EE7C6A7F4E5F}" name="tabTypeChambre" displayName="tabTypeChambre" ref="E1:E13" totalsRowShown="0">
  <autoFilter ref="E1:E13" xr:uid="{6FDE44B9-DF4D-4A29-80D9-EE7C6A7F4E5F}"/>
  <tableColumns count="1">
    <tableColumn id="1" xr3:uid="{B479E589-2D6D-468E-8EE4-12BF3A0AA182}" name="type de propriété"/>
  </tableColumns>
  <tableStyleInfo name="TableStyleLight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ECB73AA-3570-4780-BB9D-5476EF626FB4}" name="TableauArrondissement" displayName="TableauArrondissement" ref="G1:H21" totalsRowShown="0">
  <autoFilter ref="G1:H21" xr:uid="{7ECB73AA-3570-4780-BB9D-5476EF626FB4}"/>
  <tableColumns count="2">
    <tableColumn id="1" xr3:uid="{C6E353E7-B057-4A89-B40D-E1F43016DA1C}" name="Arrondissement"/>
    <tableColumn id="2" xr3:uid="{A0F8F268-EC2F-419C-8A74-0FAFCDDD58F1}" name="Nom de l'arrondissement"/>
  </tableColumns>
  <tableStyleInfo name="TableStyleLight3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626EC-35E0-4568-9BFC-D2BEFDF0D59A}">
  <sheetPr codeName="Feuil4"/>
  <dimension ref="D5:D9"/>
  <sheetViews>
    <sheetView showGridLines="0" showRowColHeaders="0" zoomScaleNormal="100" workbookViewId="0">
      <selection activeCell="F21" sqref="F21"/>
    </sheetView>
  </sheetViews>
  <sheetFormatPr baseColWidth="10" defaultColWidth="11.42578125" defaultRowHeight="15" x14ac:dyDescent="0.25"/>
  <cols>
    <col min="1" max="2" width="11.42578125" style="3"/>
    <col min="3" max="3" width="4.7109375" style="3" customWidth="1"/>
    <col min="4" max="4" width="61.85546875" style="3" customWidth="1"/>
    <col min="5" max="5" width="4.7109375" style="3" customWidth="1"/>
    <col min="6" max="16384" width="11.42578125" style="3"/>
  </cols>
  <sheetData>
    <row r="5" spans="4:4" ht="18" x14ac:dyDescent="0.25">
      <c r="D5" s="2"/>
    </row>
    <row r="7" spans="4:4" ht="18" x14ac:dyDescent="0.25">
      <c r="D7" s="4"/>
    </row>
    <row r="9" spans="4:4" ht="18" x14ac:dyDescent="0.25">
      <c r="D9" s="5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82E12-B413-4B96-BFA9-9A05AFF4F4B6}">
  <sheetPr codeName="Feuil5"/>
  <dimension ref="A1:D1"/>
  <sheetViews>
    <sheetView workbookViewId="0">
      <selection activeCell="D7" sqref="D7"/>
    </sheetView>
  </sheetViews>
  <sheetFormatPr baseColWidth="10" defaultRowHeight="15" x14ac:dyDescent="0.25"/>
  <sheetData>
    <row r="1" spans="1:4" x14ac:dyDescent="0.25">
      <c r="A1" t="s">
        <v>132</v>
      </c>
      <c r="B1" t="s">
        <v>133</v>
      </c>
      <c r="C1" t="s">
        <v>134</v>
      </c>
      <c r="D1" t="s">
        <v>137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73410-3CE9-4900-AAA7-B4FB79F0C79B}">
  <sheetPr codeName="Feuil2"/>
  <dimension ref="A1:BY5"/>
  <sheetViews>
    <sheetView workbookViewId="0">
      <selection activeCell="B5" sqref="B5"/>
    </sheetView>
  </sheetViews>
  <sheetFormatPr baseColWidth="10" defaultRowHeight="15" x14ac:dyDescent="0.25"/>
  <cols>
    <col min="1" max="1" width="17" customWidth="1"/>
    <col min="2" max="12" width="15.28515625" customWidth="1"/>
    <col min="77" max="77" width="11.7109375" customWidth="1"/>
  </cols>
  <sheetData>
    <row r="1" spans="1:77" x14ac:dyDescent="0.25">
      <c r="A1" t="s">
        <v>131</v>
      </c>
      <c r="B1" t="s">
        <v>117</v>
      </c>
      <c r="C1" t="s">
        <v>55</v>
      </c>
      <c r="D1" t="s">
        <v>56</v>
      </c>
      <c r="E1" t="s">
        <v>57</v>
      </c>
      <c r="F1" t="s">
        <v>59</v>
      </c>
      <c r="G1" t="s">
        <v>58</v>
      </c>
      <c r="H1" t="s">
        <v>60</v>
      </c>
      <c r="I1" t="s">
        <v>61</v>
      </c>
      <c r="J1" t="s">
        <v>62</v>
      </c>
      <c r="K1" t="s">
        <v>63</v>
      </c>
      <c r="L1" t="s">
        <v>64</v>
      </c>
      <c r="M1" t="s">
        <v>65</v>
      </c>
      <c r="N1" t="s">
        <v>66</v>
      </c>
      <c r="O1" t="s">
        <v>67</v>
      </c>
      <c r="P1" t="s">
        <v>68</v>
      </c>
      <c r="Q1" t="s">
        <v>69</v>
      </c>
      <c r="R1" t="s">
        <v>70</v>
      </c>
      <c r="S1" t="s">
        <v>71</v>
      </c>
      <c r="T1" t="s">
        <v>72</v>
      </c>
      <c r="U1" t="s">
        <v>118</v>
      </c>
      <c r="V1" t="s">
        <v>125</v>
      </c>
      <c r="W1" t="s">
        <v>73</v>
      </c>
      <c r="X1" t="s">
        <v>74</v>
      </c>
      <c r="Y1" t="s">
        <v>75</v>
      </c>
      <c r="Z1" t="s">
        <v>76</v>
      </c>
      <c r="AA1" t="s">
        <v>77</v>
      </c>
      <c r="AB1" t="s">
        <v>78</v>
      </c>
      <c r="AC1" t="s">
        <v>79</v>
      </c>
      <c r="AD1" t="s">
        <v>80</v>
      </c>
      <c r="AE1" t="s">
        <v>119</v>
      </c>
      <c r="AF1" t="s">
        <v>120</v>
      </c>
      <c r="AG1" t="s">
        <v>81</v>
      </c>
      <c r="AH1" t="s">
        <v>121</v>
      </c>
      <c r="AI1" t="s">
        <v>82</v>
      </c>
      <c r="AJ1" t="s">
        <v>83</v>
      </c>
      <c r="AK1" t="s">
        <v>84</v>
      </c>
      <c r="AL1" t="s">
        <v>85</v>
      </c>
      <c r="AM1" t="s">
        <v>86</v>
      </c>
      <c r="AN1" t="s">
        <v>87</v>
      </c>
      <c r="AO1" t="s">
        <v>88</v>
      </c>
      <c r="AP1" t="s">
        <v>126</v>
      </c>
      <c r="AQ1" t="s">
        <v>122</v>
      </c>
      <c r="AR1" t="s">
        <v>123</v>
      </c>
      <c r="AS1" t="s">
        <v>127</v>
      </c>
      <c r="AT1" t="s">
        <v>89</v>
      </c>
      <c r="AU1" t="s">
        <v>90</v>
      </c>
      <c r="AV1" t="s">
        <v>124</v>
      </c>
      <c r="AW1" t="s">
        <v>91</v>
      </c>
      <c r="AX1" t="s">
        <v>92</v>
      </c>
      <c r="AY1" t="s">
        <v>93</v>
      </c>
      <c r="AZ1" t="s">
        <v>94</v>
      </c>
      <c r="BA1" t="s">
        <v>95</v>
      </c>
      <c r="BB1" t="s">
        <v>96</v>
      </c>
      <c r="BC1" t="s">
        <v>97</v>
      </c>
      <c r="BD1" t="s">
        <v>98</v>
      </c>
      <c r="BE1" t="s">
        <v>99</v>
      </c>
      <c r="BF1" t="s">
        <v>100</v>
      </c>
      <c r="BG1" t="s">
        <v>101</v>
      </c>
      <c r="BH1" t="s">
        <v>102</v>
      </c>
      <c r="BI1" t="s">
        <v>103</v>
      </c>
      <c r="BJ1" t="s">
        <v>104</v>
      </c>
      <c r="BK1" t="s">
        <v>106</v>
      </c>
      <c r="BL1" t="s">
        <v>105</v>
      </c>
      <c r="BM1" t="s">
        <v>128</v>
      </c>
      <c r="BN1" t="s">
        <v>107</v>
      </c>
      <c r="BO1" t="s">
        <v>129</v>
      </c>
      <c r="BP1" t="s">
        <v>130</v>
      </c>
      <c r="BQ1" t="s">
        <v>108</v>
      </c>
      <c r="BR1" t="s">
        <v>109</v>
      </c>
      <c r="BS1" t="s">
        <v>110</v>
      </c>
      <c r="BT1" t="s">
        <v>111</v>
      </c>
      <c r="BU1" t="s">
        <v>112</v>
      </c>
      <c r="BV1" t="s">
        <v>113</v>
      </c>
      <c r="BW1" t="s">
        <v>114</v>
      </c>
      <c r="BX1" t="s">
        <v>115</v>
      </c>
      <c r="BY1" t="s">
        <v>116</v>
      </c>
    </row>
    <row r="2" spans="1:77" x14ac:dyDescent="0.25">
      <c r="B2" s="1" t="s">
        <v>181</v>
      </c>
      <c r="C2" s="1" t="s">
        <v>181</v>
      </c>
      <c r="D2" s="1" t="s">
        <v>179</v>
      </c>
      <c r="E2" s="16">
        <f>IF(E3=FALSE,0,1)</f>
        <v>0</v>
      </c>
      <c r="F2" s="16">
        <f>IF(F3=FALSE,0,1)</f>
        <v>0</v>
      </c>
      <c r="G2" s="16">
        <f t="shared" ref="G2:H2" si="0">IF(G3=FALSE,0,1)</f>
        <v>0</v>
      </c>
      <c r="H2" s="16">
        <f t="shared" si="0"/>
        <v>0</v>
      </c>
      <c r="I2" s="16">
        <f t="shared" ref="I2" si="1">IF(I3=FALSE,0,1)</f>
        <v>0</v>
      </c>
      <c r="J2" s="16">
        <f t="shared" ref="J2" si="2">IF(J3=FALSE,0,1)</f>
        <v>0</v>
      </c>
      <c r="K2" s="16">
        <f t="shared" ref="K2" si="3">IF(K3=FALSE,0,1)</f>
        <v>0</v>
      </c>
      <c r="L2" s="16">
        <f t="shared" ref="L2" si="4">IF(L3=FALSE,0,1)</f>
        <v>0</v>
      </c>
      <c r="M2" s="16">
        <f t="shared" ref="M2" si="5">IF(M3=FALSE,0,1)</f>
        <v>0</v>
      </c>
      <c r="N2" s="16">
        <f t="shared" ref="N2" si="6">IF(N3=FALSE,0,1)</f>
        <v>0</v>
      </c>
      <c r="O2" s="16">
        <f t="shared" ref="O2" si="7">IF(O3=FALSE,0,1)</f>
        <v>0</v>
      </c>
      <c r="P2" s="16">
        <f t="shared" ref="P2" si="8">IF(P3=FALSE,0,1)</f>
        <v>0</v>
      </c>
      <c r="Q2" s="16">
        <f t="shared" ref="Q2" si="9">IF(Q3=FALSE,0,1)</f>
        <v>0</v>
      </c>
      <c r="R2" s="16">
        <f t="shared" ref="R2" si="10">IF(R3=FALSE,0,1)</f>
        <v>0</v>
      </c>
      <c r="S2" s="16">
        <f t="shared" ref="S2" si="11">IF(S3=FALSE,0,1)</f>
        <v>0</v>
      </c>
      <c r="T2" s="16">
        <f t="shared" ref="T2" si="12">IF(T3=FALSE,0,1)</f>
        <v>0</v>
      </c>
      <c r="U2" s="16">
        <f t="shared" ref="U2" si="13">IF(U3=FALSE,0,1)</f>
        <v>1</v>
      </c>
      <c r="V2" s="16">
        <f t="shared" ref="V2" si="14">IF(V3=FALSE,0,1)</f>
        <v>0</v>
      </c>
      <c r="W2" s="16">
        <f t="shared" ref="W2" si="15">IF(W3=FALSE,0,1)</f>
        <v>0</v>
      </c>
      <c r="X2" s="16">
        <f t="shared" ref="X2" si="16">IF(X3=FALSE,0,1)</f>
        <v>0</v>
      </c>
      <c r="Y2" s="16">
        <f t="shared" ref="Y2" si="17">IF(Y3=FALSE,0,1)</f>
        <v>0</v>
      </c>
      <c r="Z2" s="16">
        <f t="shared" ref="Z2" si="18">IF(Z3=FALSE,0,1)</f>
        <v>0</v>
      </c>
      <c r="AA2" s="16">
        <f t="shared" ref="AA2" si="19">IF(AA3=FALSE,0,1)</f>
        <v>0</v>
      </c>
      <c r="AB2" s="16">
        <f t="shared" ref="AB2" si="20">IF(AB3=FALSE,0,1)</f>
        <v>0</v>
      </c>
      <c r="AC2" s="16">
        <f t="shared" ref="AC2" si="21">IF(AC3=FALSE,0,1)</f>
        <v>0</v>
      </c>
      <c r="AD2" s="16">
        <f t="shared" ref="AD2" si="22">IF(AD3=FALSE,0,1)</f>
        <v>0</v>
      </c>
      <c r="AE2" s="16">
        <f>Tableau4[[#This Row],[Shower gel]]</f>
        <v>0</v>
      </c>
      <c r="AF2" s="16">
        <f>Tableau4[[#This Row],[Dryer]]</f>
        <v>0</v>
      </c>
      <c r="AG2" s="16">
        <f>Tableau4[[#This Row],[Body soap]]</f>
        <v>0</v>
      </c>
      <c r="AH2" s="16">
        <f>Tableau4[[#This Row],[Drying rack for clothing]]</f>
        <v>0</v>
      </c>
      <c r="AI2" s="16">
        <f>Tableau4[[#This Row],[Iron]]</f>
        <v>0</v>
      </c>
      <c r="AJ2" s="16">
        <f>Tableau4[[#This Row],[Free dryer]]</f>
        <v>0</v>
      </c>
      <c r="AK2" s="16">
        <f>Tableau4[[#This Row],[Bathtub]]</f>
        <v>0</v>
      </c>
      <c r="AL2" s="16">
        <f>Tableau4[[#This Row],[Fire extinguisher]]</f>
        <v>0</v>
      </c>
      <c r="AM2" s="16">
        <f>Tableau4[[#This Row],[Free washer]]</f>
        <v>0</v>
      </c>
      <c r="AN2" s="16">
        <f>Tableau4[[#This Row],[Carbon monoxide alarm]]</f>
        <v>0</v>
      </c>
      <c r="AO2" s="16">
        <f>Tableau4[[#This Row],[Clothing storage]]</f>
        <v>0</v>
      </c>
      <c r="AP2" s="16">
        <f>Tableau4[[#This Row],[accommodates]]^2</f>
        <v>25</v>
      </c>
      <c r="AQ2" s="16">
        <v>4</v>
      </c>
      <c r="AR2" s="16">
        <f>Tableau4[[#This Row],[bathrooms]]^2</f>
        <v>25</v>
      </c>
      <c r="AS2" s="16">
        <f>Tableau4[[#This Row],[beds]]^2</f>
        <v>9</v>
      </c>
      <c r="AT2" s="16">
        <v>0</v>
      </c>
      <c r="AU2" s="16">
        <v>1</v>
      </c>
      <c r="AV2" s="16">
        <v>0</v>
      </c>
      <c r="AW2" s="16">
        <v>0</v>
      </c>
      <c r="AX2" s="16">
        <v>0</v>
      </c>
      <c r="AY2" s="16">
        <v>0</v>
      </c>
      <c r="AZ2" s="16">
        <v>0</v>
      </c>
      <c r="BA2" s="16">
        <v>0</v>
      </c>
      <c r="BB2" s="16">
        <v>0</v>
      </c>
      <c r="BC2" s="16">
        <v>0</v>
      </c>
      <c r="BD2" s="16">
        <v>0</v>
      </c>
      <c r="BE2" s="16">
        <v>0</v>
      </c>
      <c r="BF2" s="16">
        <v>0</v>
      </c>
      <c r="BG2" s="16">
        <v>0</v>
      </c>
      <c r="BH2" s="16">
        <v>0</v>
      </c>
      <c r="BI2" s="16">
        <v>0</v>
      </c>
      <c r="BJ2" s="16">
        <v>0</v>
      </c>
      <c r="BK2" s="16">
        <v>0</v>
      </c>
      <c r="BL2" s="16">
        <v>0</v>
      </c>
      <c r="BM2" s="16">
        <v>0</v>
      </c>
      <c r="BN2" s="16">
        <v>0</v>
      </c>
      <c r="BO2" s="16">
        <v>0</v>
      </c>
      <c r="BP2" s="16">
        <v>0</v>
      </c>
      <c r="BQ2" s="16">
        <v>0</v>
      </c>
      <c r="BR2" s="16">
        <v>0</v>
      </c>
      <c r="BS2" s="16">
        <v>0</v>
      </c>
      <c r="BT2" s="16">
        <v>0</v>
      </c>
      <c r="BU2" s="16">
        <v>0</v>
      </c>
      <c r="BV2" s="16">
        <v>0</v>
      </c>
      <c r="BW2" s="16">
        <v>0</v>
      </c>
      <c r="BX2" s="16">
        <v>0</v>
      </c>
      <c r="BY2" s="16">
        <v>1</v>
      </c>
    </row>
    <row r="3" spans="1:77" x14ac:dyDescent="0.25">
      <c r="B3" s="1"/>
      <c r="C3" s="1"/>
      <c r="D3" s="1"/>
      <c r="E3" s="1" t="b">
        <v>0</v>
      </c>
      <c r="F3" s="1" t="b">
        <v>0</v>
      </c>
      <c r="G3" s="1" t="b">
        <v>0</v>
      </c>
      <c r="H3" s="1" t="b">
        <v>0</v>
      </c>
      <c r="I3" s="1" t="b">
        <v>0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0</v>
      </c>
      <c r="O3" s="1" t="b">
        <v>0</v>
      </c>
      <c r="P3" s="1" t="b">
        <v>0</v>
      </c>
      <c r="Q3" s="1" t="b">
        <v>0</v>
      </c>
      <c r="R3" s="1" t="b">
        <v>0</v>
      </c>
      <c r="S3" s="1" t="b">
        <v>0</v>
      </c>
      <c r="T3" s="1" t="b">
        <v>0</v>
      </c>
      <c r="U3" s="1" t="b">
        <v>1</v>
      </c>
      <c r="V3" s="1" t="b">
        <v>0</v>
      </c>
      <c r="W3" s="1" t="b">
        <v>0</v>
      </c>
      <c r="X3" s="1" t="b">
        <v>0</v>
      </c>
      <c r="Y3" s="1" t="b">
        <v>0</v>
      </c>
      <c r="Z3" s="1" t="b">
        <v>0</v>
      </c>
      <c r="AA3" s="1" t="b">
        <v>0</v>
      </c>
      <c r="AB3" s="1" t="b">
        <v>0</v>
      </c>
      <c r="AC3" s="1" t="b">
        <v>0</v>
      </c>
      <c r="AD3" s="1" t="b">
        <v>0</v>
      </c>
      <c r="AE3" s="1" t="b">
        <f>Tableau4[[#This Row],[Shower gel]]</f>
        <v>0</v>
      </c>
      <c r="AF3" s="1" t="b">
        <f>Tableau4[[#This Row],[Dryer]]</f>
        <v>0</v>
      </c>
      <c r="AG3" s="1" t="b">
        <v>0</v>
      </c>
      <c r="AH3" s="1" t="b">
        <f>Tableau4[[#This Row],[Drying rack for clothing]]</f>
        <v>0</v>
      </c>
      <c r="AI3" s="1" t="b">
        <v>0</v>
      </c>
      <c r="AJ3" s="1" t="b">
        <v>0</v>
      </c>
      <c r="AK3" s="1" t="b">
        <v>0</v>
      </c>
      <c r="AL3" s="1" t="b">
        <v>0</v>
      </c>
      <c r="AM3" s="1" t="b">
        <v>0</v>
      </c>
      <c r="AN3" s="1" t="b">
        <v>0</v>
      </c>
      <c r="AO3" s="1" t="b">
        <f>Tableau4[[#This Row],[Clothing storage]]</f>
        <v>0</v>
      </c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</row>
    <row r="5" spans="1:77" x14ac:dyDescent="0.25">
      <c r="A5" t="s">
        <v>180</v>
      </c>
      <c r="B5" s="16">
        <f>SUM(E2:T2)+SUM(V2:AD2)+SUM(AI2:AN2)+AG2</f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5CF4A-4F87-4047-8050-87C8589FE031}">
  <sheetPr codeName="Feuil7"/>
  <dimension ref="A1:BY2"/>
  <sheetViews>
    <sheetView topLeftCell="AD1" workbookViewId="0">
      <selection activeCell="AN2" sqref="AN2"/>
    </sheetView>
  </sheetViews>
  <sheetFormatPr baseColWidth="10" defaultRowHeight="15" x14ac:dyDescent="0.25"/>
  <sheetData>
    <row r="1" spans="1:77" x14ac:dyDescent="0.25">
      <c r="A1" t="s">
        <v>131</v>
      </c>
      <c r="B1" t="s">
        <v>117</v>
      </c>
      <c r="C1" t="s">
        <v>55</v>
      </c>
      <c r="D1" t="s">
        <v>56</v>
      </c>
      <c r="E1" t="s">
        <v>57</v>
      </c>
      <c r="F1" t="s">
        <v>59</v>
      </c>
      <c r="G1" t="s">
        <v>58</v>
      </c>
      <c r="H1" t="s">
        <v>60</v>
      </c>
      <c r="I1" t="s">
        <v>61</v>
      </c>
      <c r="J1" t="s">
        <v>62</v>
      </c>
      <c r="K1" t="s">
        <v>63</v>
      </c>
      <c r="L1" t="s">
        <v>64</v>
      </c>
      <c r="M1" t="s">
        <v>65</v>
      </c>
      <c r="N1" t="s">
        <v>66</v>
      </c>
      <c r="O1" t="s">
        <v>67</v>
      </c>
      <c r="P1" t="s">
        <v>68</v>
      </c>
      <c r="Q1" t="s">
        <v>69</v>
      </c>
      <c r="R1" t="s">
        <v>70</v>
      </c>
      <c r="S1" t="s">
        <v>71</v>
      </c>
      <c r="T1" t="s">
        <v>72</v>
      </c>
      <c r="U1" t="s">
        <v>118</v>
      </c>
      <c r="V1" t="s">
        <v>125</v>
      </c>
      <c r="W1" t="s">
        <v>73</v>
      </c>
      <c r="X1" t="s">
        <v>74</v>
      </c>
      <c r="Y1" t="s">
        <v>75</v>
      </c>
      <c r="Z1" t="s">
        <v>76</v>
      </c>
      <c r="AA1" t="s">
        <v>77</v>
      </c>
      <c r="AB1" t="s">
        <v>78</v>
      </c>
      <c r="AC1" t="s">
        <v>79</v>
      </c>
      <c r="AD1" t="s">
        <v>80</v>
      </c>
      <c r="AE1" t="s">
        <v>119</v>
      </c>
      <c r="AF1" t="s">
        <v>120</v>
      </c>
      <c r="AG1" t="s">
        <v>81</v>
      </c>
      <c r="AH1" t="s">
        <v>121</v>
      </c>
      <c r="AI1" t="s">
        <v>82</v>
      </c>
      <c r="AJ1" t="s">
        <v>83</v>
      </c>
      <c r="AK1" t="s">
        <v>84</v>
      </c>
      <c r="AL1" t="s">
        <v>85</v>
      </c>
      <c r="AM1" t="s">
        <v>86</v>
      </c>
      <c r="AN1" t="s">
        <v>87</v>
      </c>
      <c r="AO1" t="s">
        <v>88</v>
      </c>
      <c r="AP1" t="s">
        <v>126</v>
      </c>
      <c r="AQ1" t="s">
        <v>122</v>
      </c>
      <c r="AR1" t="s">
        <v>123</v>
      </c>
      <c r="AS1" t="s">
        <v>127</v>
      </c>
      <c r="AT1" t="s">
        <v>89</v>
      </c>
      <c r="AU1" t="s">
        <v>90</v>
      </c>
      <c r="AV1" t="s">
        <v>124</v>
      </c>
      <c r="AW1" t="s">
        <v>91</v>
      </c>
      <c r="AX1" t="s">
        <v>92</v>
      </c>
      <c r="AY1" t="s">
        <v>93</v>
      </c>
      <c r="AZ1" t="s">
        <v>94</v>
      </c>
      <c r="BA1" t="s">
        <v>95</v>
      </c>
      <c r="BB1" t="s">
        <v>96</v>
      </c>
      <c r="BC1" t="s">
        <v>97</v>
      </c>
      <c r="BD1" t="s">
        <v>98</v>
      </c>
      <c r="BE1" t="s">
        <v>99</v>
      </c>
      <c r="BF1" t="s">
        <v>100</v>
      </c>
      <c r="BG1" t="s">
        <v>101</v>
      </c>
      <c r="BH1" t="s">
        <v>102</v>
      </c>
      <c r="BI1" t="s">
        <v>103</v>
      </c>
      <c r="BJ1" t="s">
        <v>104</v>
      </c>
      <c r="BK1" t="s">
        <v>106</v>
      </c>
      <c r="BL1" t="s">
        <v>105</v>
      </c>
      <c r="BM1" t="s">
        <v>128</v>
      </c>
      <c r="BN1" t="s">
        <v>107</v>
      </c>
      <c r="BO1" t="s">
        <v>129</v>
      </c>
      <c r="BP1" t="s">
        <v>130</v>
      </c>
      <c r="BQ1" t="s">
        <v>108</v>
      </c>
      <c r="BR1" t="s">
        <v>109</v>
      </c>
      <c r="BS1" t="s">
        <v>110</v>
      </c>
      <c r="BT1" t="s">
        <v>111</v>
      </c>
      <c r="BU1" t="s">
        <v>112</v>
      </c>
      <c r="BV1" t="s">
        <v>113</v>
      </c>
      <c r="BW1" t="s">
        <v>114</v>
      </c>
      <c r="BX1" t="s">
        <v>115</v>
      </c>
      <c r="BY1" t="s">
        <v>116</v>
      </c>
    </row>
    <row r="2" spans="1:77" x14ac:dyDescent="0.25">
      <c r="A2">
        <f>Donnees!A2</f>
        <v>0</v>
      </c>
      <c r="B2" t="str">
        <f>Donnees!B2</f>
        <v>5</v>
      </c>
      <c r="C2" t="str">
        <f>Donnees!C2</f>
        <v>5</v>
      </c>
      <c r="D2" t="str">
        <f>Donnees!D2</f>
        <v>3</v>
      </c>
      <c r="E2" s="1">
        <f>Donnees!E2</f>
        <v>0</v>
      </c>
      <c r="F2" s="1">
        <f>Donnees!F2</f>
        <v>0</v>
      </c>
      <c r="G2" s="1">
        <f>Donnees!G2</f>
        <v>0</v>
      </c>
      <c r="H2" s="1">
        <f>Donnees!H2</f>
        <v>0</v>
      </c>
      <c r="I2" s="1">
        <f>Donnees!I2</f>
        <v>0</v>
      </c>
      <c r="J2" s="1">
        <f>Donnees!J2</f>
        <v>0</v>
      </c>
      <c r="K2" s="1">
        <f>Donnees!K2</f>
        <v>0</v>
      </c>
      <c r="L2" s="1">
        <f>Donnees!L2</f>
        <v>0</v>
      </c>
      <c r="M2" s="1">
        <f>Donnees!M2</f>
        <v>0</v>
      </c>
      <c r="N2" s="1">
        <f>Donnees!N2</f>
        <v>0</v>
      </c>
      <c r="O2" s="1">
        <f>Donnees!O2</f>
        <v>0</v>
      </c>
      <c r="P2" s="1">
        <f>Donnees!P2</f>
        <v>0</v>
      </c>
      <c r="Q2" s="1">
        <f>Donnees!Q2</f>
        <v>0</v>
      </c>
      <c r="R2" s="1">
        <f>Donnees!R2</f>
        <v>0</v>
      </c>
      <c r="S2" s="1">
        <f>Donnees!S2</f>
        <v>0</v>
      </c>
      <c r="T2" s="1">
        <f>Donnees!T2</f>
        <v>0</v>
      </c>
      <c r="U2" s="1">
        <f>Donnees!U2</f>
        <v>1</v>
      </c>
      <c r="V2" s="1">
        <f>Donnees!V2</f>
        <v>0</v>
      </c>
      <c r="W2" s="1">
        <f>Donnees!W2</f>
        <v>0</v>
      </c>
      <c r="X2" s="1">
        <f>Donnees!X2</f>
        <v>0</v>
      </c>
      <c r="Y2" s="1">
        <f>Donnees!Y2</f>
        <v>0</v>
      </c>
      <c r="Z2" s="1">
        <f>Donnees!Z2</f>
        <v>0</v>
      </c>
      <c r="AA2" s="1">
        <f>Donnees!AA2</f>
        <v>0</v>
      </c>
      <c r="AB2" s="1">
        <f>Donnees!AB2</f>
        <v>0</v>
      </c>
      <c r="AC2" s="1">
        <f>Donnees!AC2</f>
        <v>0</v>
      </c>
      <c r="AD2" s="1">
        <f>Donnees!AD2</f>
        <v>0</v>
      </c>
      <c r="AE2" s="1">
        <f>Donnees!AE2</f>
        <v>0</v>
      </c>
      <c r="AF2" s="1">
        <f>Donnees!AF2</f>
        <v>0</v>
      </c>
      <c r="AG2" s="1">
        <f>Donnees!AG2</f>
        <v>0</v>
      </c>
      <c r="AH2" s="1">
        <f>Donnees!AH2</f>
        <v>0</v>
      </c>
      <c r="AI2" s="1">
        <f>Donnees!AI2</f>
        <v>0</v>
      </c>
      <c r="AJ2" s="1">
        <f>Donnees!AJ2</f>
        <v>0</v>
      </c>
      <c r="AK2" s="1">
        <f>Donnees!AK2</f>
        <v>0</v>
      </c>
      <c r="AL2" s="1">
        <f>Donnees!AL2</f>
        <v>0</v>
      </c>
      <c r="AM2" s="1">
        <f>Donnees!AM2</f>
        <v>0</v>
      </c>
      <c r="AN2" s="1">
        <f>Donnees!AN2</f>
        <v>0</v>
      </c>
      <c r="AO2" s="1">
        <f>Donnees!AO2</f>
        <v>0</v>
      </c>
      <c r="AP2" s="1">
        <f>Donnees!AP2</f>
        <v>25</v>
      </c>
      <c r="AQ2">
        <f>Donnees!AQ2</f>
        <v>4</v>
      </c>
      <c r="AR2">
        <f>Donnees!AR2</f>
        <v>25</v>
      </c>
      <c r="AS2">
        <f>Donnees!AS2</f>
        <v>9</v>
      </c>
      <c r="AT2" s="1">
        <f>Donnees!AT2</f>
        <v>0</v>
      </c>
      <c r="AU2">
        <f>Donnees!AU2</f>
        <v>1</v>
      </c>
      <c r="AV2">
        <f>Donnees!AV2</f>
        <v>0</v>
      </c>
      <c r="AW2">
        <f>Donnees!AW2</f>
        <v>0</v>
      </c>
      <c r="AX2">
        <f>Donnees!AX2</f>
        <v>0</v>
      </c>
      <c r="AY2">
        <f>Donnees!AY2</f>
        <v>0</v>
      </c>
      <c r="AZ2">
        <f>Donnees!AZ2</f>
        <v>0</v>
      </c>
      <c r="BA2">
        <f>Donnees!BA2</f>
        <v>0</v>
      </c>
      <c r="BB2">
        <f>Donnees!BB2</f>
        <v>0</v>
      </c>
      <c r="BC2">
        <f>Donnees!BC2</f>
        <v>0</v>
      </c>
      <c r="BD2">
        <f>Donnees!BD2</f>
        <v>0</v>
      </c>
      <c r="BE2">
        <f>Donnees!BE2</f>
        <v>0</v>
      </c>
      <c r="BF2">
        <f>Donnees!BF2</f>
        <v>0</v>
      </c>
      <c r="BG2">
        <f>Donnees!BG2</f>
        <v>0</v>
      </c>
      <c r="BH2">
        <f>Donnees!BH2</f>
        <v>0</v>
      </c>
      <c r="BI2">
        <f>Donnees!BI2</f>
        <v>0</v>
      </c>
      <c r="BJ2">
        <f>Donnees!BJ2</f>
        <v>0</v>
      </c>
      <c r="BK2">
        <f>Donnees!BK2</f>
        <v>0</v>
      </c>
      <c r="BL2">
        <f>Donnees!BL2</f>
        <v>0</v>
      </c>
      <c r="BM2">
        <f>Donnees!BM2</f>
        <v>0</v>
      </c>
      <c r="BN2">
        <f>Donnees!BN2</f>
        <v>0</v>
      </c>
      <c r="BO2">
        <f>Donnees!BO2</f>
        <v>0</v>
      </c>
      <c r="BP2">
        <f>Donnees!BP2</f>
        <v>0</v>
      </c>
      <c r="BQ2">
        <f>Donnees!BQ2</f>
        <v>0</v>
      </c>
      <c r="BR2">
        <f>Donnees!BR2</f>
        <v>0</v>
      </c>
      <c r="BS2">
        <f>Donnees!BS2</f>
        <v>0</v>
      </c>
      <c r="BT2">
        <f>Donnees!BT2</f>
        <v>0</v>
      </c>
      <c r="BU2">
        <f>Donnees!BU2</f>
        <v>0</v>
      </c>
      <c r="BV2">
        <f>Donnees!BV2</f>
        <v>0</v>
      </c>
      <c r="BW2">
        <f>Donnees!BW2</f>
        <v>0</v>
      </c>
      <c r="BX2">
        <f>Donnees!BX2</f>
        <v>0</v>
      </c>
      <c r="BY2">
        <f>Donnees!BY2</f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BE670-5AA1-4368-BE81-641DF61ED613}">
  <sheetPr codeName="Feuil3"/>
  <dimension ref="A1:J26"/>
  <sheetViews>
    <sheetView topLeftCell="C1" zoomScale="115" zoomScaleNormal="115" workbookViewId="0">
      <selection activeCell="H2" sqref="H2"/>
    </sheetView>
  </sheetViews>
  <sheetFormatPr baseColWidth="10" defaultRowHeight="15" x14ac:dyDescent="0.25"/>
  <cols>
    <col min="1" max="1" width="22.42578125" customWidth="1"/>
    <col min="2" max="2" width="19.28515625" customWidth="1"/>
    <col min="3" max="3" width="20.42578125" customWidth="1"/>
    <col min="4" max="4" width="22.42578125" customWidth="1"/>
    <col min="5" max="5" width="41" customWidth="1"/>
    <col min="7" max="7" width="21.5703125" customWidth="1"/>
    <col min="8" max="8" width="23.140625" customWidth="1"/>
    <col min="9" max="9" width="1.5703125" customWidth="1"/>
    <col min="10" max="10" width="10.85546875" hidden="1" customWidth="1"/>
    <col min="11" max="11" width="54.140625" customWidth="1"/>
  </cols>
  <sheetData>
    <row r="1" spans="1:8" x14ac:dyDescent="0.25">
      <c r="A1" t="s">
        <v>7</v>
      </c>
      <c r="B1" t="s">
        <v>6</v>
      </c>
      <c r="C1" t="s">
        <v>14</v>
      </c>
      <c r="D1" t="s">
        <v>8</v>
      </c>
      <c r="E1" t="s">
        <v>41</v>
      </c>
      <c r="G1" t="s">
        <v>39</v>
      </c>
      <c r="H1" t="s">
        <v>160</v>
      </c>
    </row>
    <row r="2" spans="1:8" x14ac:dyDescent="0.25">
      <c r="A2">
        <v>0</v>
      </c>
      <c r="B2" t="s">
        <v>3</v>
      </c>
      <c r="C2" t="s">
        <v>26</v>
      </c>
      <c r="D2" t="s">
        <v>9</v>
      </c>
      <c r="E2" t="s">
        <v>42</v>
      </c>
      <c r="G2" t="s">
        <v>40</v>
      </c>
      <c r="H2" t="s">
        <v>151</v>
      </c>
    </row>
    <row r="3" spans="1:8" x14ac:dyDescent="0.25">
      <c r="A3">
        <v>1</v>
      </c>
      <c r="B3" t="s">
        <v>4</v>
      </c>
      <c r="C3" t="s">
        <v>2</v>
      </c>
      <c r="D3" t="s">
        <v>10</v>
      </c>
      <c r="E3" t="s">
        <v>43</v>
      </c>
      <c r="G3" t="s">
        <v>161</v>
      </c>
      <c r="H3" t="s">
        <v>148</v>
      </c>
    </row>
    <row r="4" spans="1:8" x14ac:dyDescent="0.25">
      <c r="A4">
        <v>2</v>
      </c>
      <c r="B4" t="s">
        <v>0</v>
      </c>
      <c r="C4" t="s">
        <v>27</v>
      </c>
      <c r="D4" t="s">
        <v>11</v>
      </c>
      <c r="E4" t="s">
        <v>44</v>
      </c>
      <c r="G4" t="s">
        <v>162</v>
      </c>
      <c r="H4" t="s">
        <v>147</v>
      </c>
    </row>
    <row r="5" spans="1:8" x14ac:dyDescent="0.25">
      <c r="A5">
        <v>3</v>
      </c>
      <c r="B5" t="s">
        <v>5</v>
      </c>
      <c r="C5" t="s">
        <v>28</v>
      </c>
      <c r="D5" t="s">
        <v>12</v>
      </c>
      <c r="E5" t="s">
        <v>45</v>
      </c>
      <c r="G5" t="s">
        <v>163</v>
      </c>
      <c r="H5" t="s">
        <v>158</v>
      </c>
    </row>
    <row r="6" spans="1:8" x14ac:dyDescent="0.25">
      <c r="A6">
        <v>4</v>
      </c>
      <c r="B6" t="s">
        <v>38</v>
      </c>
      <c r="C6" t="s">
        <v>29</v>
      </c>
      <c r="D6" t="s">
        <v>13</v>
      </c>
      <c r="E6" t="s">
        <v>46</v>
      </c>
      <c r="G6" t="s">
        <v>164</v>
      </c>
      <c r="H6" t="s">
        <v>156</v>
      </c>
    </row>
    <row r="7" spans="1:8" x14ac:dyDescent="0.25">
      <c r="A7">
        <v>5</v>
      </c>
      <c r="C7" t="s">
        <v>15</v>
      </c>
      <c r="E7" t="s">
        <v>47</v>
      </c>
      <c r="G7" t="s">
        <v>165</v>
      </c>
      <c r="H7" t="s">
        <v>149</v>
      </c>
    </row>
    <row r="8" spans="1:8" x14ac:dyDescent="0.25">
      <c r="A8">
        <v>6</v>
      </c>
      <c r="C8" t="s">
        <v>30</v>
      </c>
      <c r="E8" t="s">
        <v>48</v>
      </c>
      <c r="G8" t="s">
        <v>166</v>
      </c>
      <c r="H8" t="s">
        <v>152</v>
      </c>
    </row>
    <row r="9" spans="1:8" x14ac:dyDescent="0.25">
      <c r="A9">
        <v>7</v>
      </c>
      <c r="C9" t="s">
        <v>31</v>
      </c>
      <c r="E9" t="s">
        <v>49</v>
      </c>
      <c r="G9" t="s">
        <v>167</v>
      </c>
      <c r="H9" t="s">
        <v>159</v>
      </c>
    </row>
    <row r="10" spans="1:8" x14ac:dyDescent="0.25">
      <c r="A10">
        <v>8</v>
      </c>
      <c r="C10" t="s">
        <v>19</v>
      </c>
      <c r="E10" t="s">
        <v>53</v>
      </c>
      <c r="G10" t="s">
        <v>168</v>
      </c>
      <c r="H10" t="s">
        <v>157</v>
      </c>
    </row>
    <row r="11" spans="1:8" x14ac:dyDescent="0.25">
      <c r="A11">
        <v>9</v>
      </c>
      <c r="C11" t="s">
        <v>20</v>
      </c>
      <c r="E11" t="s">
        <v>50</v>
      </c>
      <c r="G11" t="s">
        <v>169</v>
      </c>
      <c r="H11" t="s">
        <v>155</v>
      </c>
    </row>
    <row r="12" spans="1:8" x14ac:dyDescent="0.25">
      <c r="A12">
        <v>10</v>
      </c>
      <c r="C12" t="s">
        <v>32</v>
      </c>
      <c r="E12" t="s">
        <v>51</v>
      </c>
      <c r="G12" t="s">
        <v>170</v>
      </c>
      <c r="H12" t="s">
        <v>144</v>
      </c>
    </row>
    <row r="13" spans="1:8" x14ac:dyDescent="0.25">
      <c r="C13" t="s">
        <v>17</v>
      </c>
      <c r="E13" t="s">
        <v>52</v>
      </c>
      <c r="G13" t="s">
        <v>171</v>
      </c>
      <c r="H13" t="s">
        <v>142</v>
      </c>
    </row>
    <row r="14" spans="1:8" x14ac:dyDescent="0.25">
      <c r="C14" t="s">
        <v>33</v>
      </c>
      <c r="G14" t="s">
        <v>172</v>
      </c>
      <c r="H14" t="s">
        <v>139</v>
      </c>
    </row>
    <row r="15" spans="1:8" x14ac:dyDescent="0.25">
      <c r="C15" t="s">
        <v>23</v>
      </c>
      <c r="G15" t="s">
        <v>173</v>
      </c>
      <c r="H15" t="s">
        <v>143</v>
      </c>
    </row>
    <row r="16" spans="1:8" x14ac:dyDescent="0.25">
      <c r="C16" t="s">
        <v>34</v>
      </c>
      <c r="G16" t="s">
        <v>174</v>
      </c>
      <c r="H16" t="s">
        <v>146</v>
      </c>
    </row>
    <row r="17" spans="3:8" x14ac:dyDescent="0.25">
      <c r="C17" t="s">
        <v>24</v>
      </c>
      <c r="G17" t="s">
        <v>175</v>
      </c>
      <c r="H17" t="s">
        <v>150</v>
      </c>
    </row>
    <row r="18" spans="3:8" x14ac:dyDescent="0.25">
      <c r="C18" t="s">
        <v>16</v>
      </c>
      <c r="G18" t="s">
        <v>176</v>
      </c>
      <c r="H18" t="s">
        <v>145</v>
      </c>
    </row>
    <row r="19" spans="3:8" x14ac:dyDescent="0.25">
      <c r="C19" t="s">
        <v>1</v>
      </c>
      <c r="G19" t="s">
        <v>177</v>
      </c>
      <c r="H19" t="s">
        <v>141</v>
      </c>
    </row>
    <row r="20" spans="3:8" x14ac:dyDescent="0.25">
      <c r="C20" t="s">
        <v>35</v>
      </c>
      <c r="G20" t="s">
        <v>178</v>
      </c>
      <c r="H20" t="s">
        <v>140</v>
      </c>
    </row>
    <row r="21" spans="3:8" x14ac:dyDescent="0.25">
      <c r="C21" t="s">
        <v>36</v>
      </c>
      <c r="G21" t="s">
        <v>136</v>
      </c>
      <c r="H21" t="s">
        <v>154</v>
      </c>
    </row>
    <row r="22" spans="3:8" x14ac:dyDescent="0.25">
      <c r="C22" t="s">
        <v>25</v>
      </c>
    </row>
    <row r="23" spans="3:8" x14ac:dyDescent="0.25">
      <c r="C23" t="s">
        <v>21</v>
      </c>
    </row>
    <row r="24" spans="3:8" x14ac:dyDescent="0.25">
      <c r="C24" t="s">
        <v>22</v>
      </c>
    </row>
    <row r="25" spans="3:8" x14ac:dyDescent="0.25">
      <c r="C25" t="s">
        <v>18</v>
      </c>
    </row>
    <row r="26" spans="3:8" x14ac:dyDescent="0.25">
      <c r="C26" t="s">
        <v>37</v>
      </c>
    </row>
  </sheetData>
  <phoneticPr fontId="1" type="noConversion"/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349C6-B222-43B8-9701-2774BD7989A7}">
  <sheetPr codeName="Feuil1"/>
  <dimension ref="B1:M45"/>
  <sheetViews>
    <sheetView showGridLines="0" tabSelected="1" zoomScaleNormal="100" workbookViewId="0">
      <selection activeCell="P14" sqref="P14"/>
    </sheetView>
  </sheetViews>
  <sheetFormatPr baseColWidth="10" defaultColWidth="11.42578125" defaultRowHeight="15" x14ac:dyDescent="0.25"/>
  <cols>
    <col min="1" max="15" width="11.42578125" style="3" customWidth="1"/>
    <col min="16" max="16384" width="11.42578125" style="3"/>
  </cols>
  <sheetData>
    <row r="1" spans="2:13" ht="15.95" customHeight="1" x14ac:dyDescent="0.25"/>
    <row r="2" spans="2:13" ht="18" customHeight="1" x14ac:dyDescent="0.25">
      <c r="B2" s="6"/>
      <c r="H2" s="7"/>
    </row>
    <row r="3" spans="2:13" ht="15.95" customHeight="1" x14ac:dyDescent="0.25">
      <c r="B3" s="8"/>
      <c r="C3" s="9"/>
    </row>
    <row r="4" spans="2:13" ht="15.95" customHeight="1" x14ac:dyDescent="0.25"/>
    <row r="5" spans="2:13" ht="15.95" customHeight="1" x14ac:dyDescent="0.25"/>
    <row r="6" spans="2:13" ht="15.95" customHeight="1" x14ac:dyDescent="0.25">
      <c r="F6" s="10"/>
    </row>
    <row r="7" spans="2:13" ht="15.95" customHeight="1" x14ac:dyDescent="0.25"/>
    <row r="8" spans="2:13" ht="15.95" customHeight="1" x14ac:dyDescent="0.25"/>
    <row r="9" spans="2:13" ht="15.95" customHeight="1" x14ac:dyDescent="0.25">
      <c r="F9" s="11"/>
    </row>
    <row r="10" spans="2:13" ht="15.95" customHeight="1" x14ac:dyDescent="0.25"/>
    <row r="11" spans="2:13" ht="15.95" customHeight="1" x14ac:dyDescent="0.25"/>
    <row r="12" spans="2:13" ht="15.95" customHeight="1" x14ac:dyDescent="0.25"/>
    <row r="13" spans="2:13" ht="15.95" customHeight="1" x14ac:dyDescent="0.25"/>
    <row r="14" spans="2:13" ht="15.95" customHeight="1" x14ac:dyDescent="0.25"/>
    <row r="15" spans="2:13" ht="15.95" customHeight="1" x14ac:dyDescent="0.25"/>
    <row r="16" spans="2:13" ht="15.95" customHeight="1" x14ac:dyDescent="0.35">
      <c r="H16" s="12"/>
      <c r="I16" s="13"/>
      <c r="J16" s="12"/>
      <c r="K16" s="12"/>
      <c r="L16" s="14"/>
      <c r="M16" s="14"/>
    </row>
    <row r="17" spans="8:11" ht="15.95" customHeight="1" x14ac:dyDescent="0.4">
      <c r="H17" s="12"/>
      <c r="I17" s="12"/>
      <c r="J17" s="12"/>
      <c r="K17" s="15"/>
    </row>
    <row r="18" spans="8:11" ht="15.95" customHeight="1" x14ac:dyDescent="0.25"/>
    <row r="19" spans="8:11" ht="15.95" customHeight="1" x14ac:dyDescent="0.25"/>
    <row r="20" spans="8:11" ht="15.95" customHeight="1" x14ac:dyDescent="0.25"/>
    <row r="21" spans="8:11" ht="15.95" customHeight="1" x14ac:dyDescent="0.25"/>
    <row r="22" spans="8:11" ht="15.95" customHeight="1" x14ac:dyDescent="0.25"/>
    <row r="23" spans="8:11" ht="14.45" customHeight="1" x14ac:dyDescent="0.25"/>
    <row r="24" spans="8:11" ht="14.45" customHeight="1" x14ac:dyDescent="0.25"/>
    <row r="25" spans="8:11" ht="14.45" customHeight="1" x14ac:dyDescent="0.25"/>
    <row r="26" spans="8:11" ht="14.45" customHeight="1" x14ac:dyDescent="0.25"/>
    <row r="27" spans="8:11" ht="14.45" customHeight="1" x14ac:dyDescent="0.25"/>
    <row r="28" spans="8:11" ht="14.45" customHeight="1" x14ac:dyDescent="0.25"/>
    <row r="29" spans="8:11" ht="14.45" customHeight="1" x14ac:dyDescent="0.25"/>
    <row r="30" spans="8:11" ht="14.45" customHeight="1" x14ac:dyDescent="0.25"/>
    <row r="31" spans="8:11" ht="14.45" customHeight="1" x14ac:dyDescent="0.25"/>
    <row r="32" spans="8:11" ht="14.45" customHeight="1" x14ac:dyDescent="0.25"/>
    <row r="33" s="3" customFormat="1" ht="14.45" customHeight="1" x14ac:dyDescent="0.25"/>
    <row r="34" s="3" customFormat="1" ht="14.45" customHeight="1" x14ac:dyDescent="0.25"/>
    <row r="35" s="3" customFormat="1" ht="14.45" customHeight="1" x14ac:dyDescent="0.25"/>
    <row r="36" s="3" customFormat="1" ht="14.45" customHeight="1" x14ac:dyDescent="0.25"/>
    <row r="37" s="3" customFormat="1" ht="14.45" customHeight="1" x14ac:dyDescent="0.25"/>
    <row r="38" s="3" customFormat="1" ht="14.45" customHeight="1" x14ac:dyDescent="0.25"/>
    <row r="39" s="3" customFormat="1" ht="14.45" customHeight="1" x14ac:dyDescent="0.25"/>
    <row r="40" s="3" customFormat="1" ht="14.45" customHeight="1" x14ac:dyDescent="0.25"/>
    <row r="41" s="3" customFormat="1" ht="14.45" customHeight="1" x14ac:dyDescent="0.25"/>
    <row r="42" s="3" customFormat="1" ht="14.45" customHeight="1" x14ac:dyDescent="0.25"/>
    <row r="43" s="3" customFormat="1" ht="14.45" customHeight="1" x14ac:dyDescent="0.25"/>
    <row r="44" s="3" customFormat="1" ht="14.45" customHeight="1" x14ac:dyDescent="0.25"/>
    <row r="45" s="3" customFormat="1" ht="14.45" customHeight="1" x14ac:dyDescent="0.25"/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2E7FB-620C-41C2-A662-5E2F0172747E}">
  <sheetPr codeName="Feuil6"/>
  <dimension ref="A2:BY30"/>
  <sheetViews>
    <sheetView workbookViewId="0">
      <selection activeCell="J12" sqref="J12"/>
    </sheetView>
  </sheetViews>
  <sheetFormatPr baseColWidth="10" defaultRowHeight="15" x14ac:dyDescent="0.25"/>
  <cols>
    <col min="1" max="1" width="23.7109375" customWidth="1"/>
    <col min="2" max="2" width="35.85546875" customWidth="1"/>
    <col min="4" max="4" width="7.85546875" customWidth="1"/>
    <col min="5" max="5" width="14.42578125" customWidth="1"/>
    <col min="8" max="8" width="18" customWidth="1"/>
    <col min="10" max="10" width="15.5703125" customWidth="1"/>
  </cols>
  <sheetData>
    <row r="2" spans="1:77" ht="15.75" thickBot="1" x14ac:dyDescent="0.3"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1</v>
      </c>
    </row>
    <row r="3" spans="1:77" s="17" customFormat="1" ht="19.5" customHeight="1" x14ac:dyDescent="0.25">
      <c r="B3" s="41" t="str">
        <f>"Vous proposez "&amp; I5&amp; B5&amp; " sur 36."</f>
        <v>Vous proposez 2équipements sur 36.</v>
      </c>
      <c r="H3" s="18" t="s">
        <v>184</v>
      </c>
      <c r="I3" s="19" t="s">
        <v>185</v>
      </c>
      <c r="J3" s="20" t="s">
        <v>186</v>
      </c>
    </row>
    <row r="4" spans="1:77" s="17" customFormat="1" ht="47.25" customHeight="1" x14ac:dyDescent="0.25">
      <c r="B4" s="42" t="str">
        <f>"Dans le "&amp;I8&amp; " arrondissement, le prix moyen d'une nuit dans un AirBNB est ..."</f>
        <v>Dans le 2eme arrondissement, le prix moyen d'une nuit dans un AirBNB est ...</v>
      </c>
      <c r="E4" s="17" t="s">
        <v>182</v>
      </c>
      <c r="H4" s="21" t="s">
        <v>54</v>
      </c>
      <c r="I4" s="22">
        <v>203.45</v>
      </c>
      <c r="J4" s="23" t="str">
        <f>ROUND(I4,2) &amp; "$"</f>
        <v>203,45$</v>
      </c>
    </row>
    <row r="5" spans="1:77" ht="30.75" thickBot="1" x14ac:dyDescent="0.3">
      <c r="B5" s="43" t="str">
        <f>IF(I5=0,"équipement",IF(I5=1,"équipement","équipements"))</f>
        <v>équipements</v>
      </c>
      <c r="H5" s="24" t="s">
        <v>137</v>
      </c>
      <c r="I5" s="25">
        <v>2</v>
      </c>
      <c r="J5" s="26"/>
    </row>
    <row r="6" spans="1:77" x14ac:dyDescent="0.25">
      <c r="H6" s="24" t="s">
        <v>133</v>
      </c>
      <c r="I6" s="27">
        <v>184.76</v>
      </c>
      <c r="J6" s="26" t="str">
        <f>I6&amp;" $"</f>
        <v>184,76 $</v>
      </c>
    </row>
    <row r="7" spans="1:77" x14ac:dyDescent="0.25">
      <c r="H7" s="21" t="s">
        <v>134</v>
      </c>
      <c r="I7" s="28">
        <v>224.03</v>
      </c>
      <c r="J7" s="23" t="str">
        <f>I7&amp;" $"</f>
        <v>224,03 $</v>
      </c>
    </row>
    <row r="8" spans="1:77" x14ac:dyDescent="0.25">
      <c r="H8" s="21" t="s">
        <v>135</v>
      </c>
      <c r="I8" s="29" t="s">
        <v>161</v>
      </c>
      <c r="J8" s="30"/>
    </row>
    <row r="9" spans="1:77" ht="15.75" thickBot="1" x14ac:dyDescent="0.3">
      <c r="H9" s="21" t="s">
        <v>183</v>
      </c>
      <c r="I9" s="29">
        <f>SUM(E11:E30)</f>
        <v>260.45</v>
      </c>
      <c r="J9" s="23" t="str">
        <f>I9&amp;" $"</f>
        <v>260,45 $</v>
      </c>
    </row>
    <row r="10" spans="1:77" x14ac:dyDescent="0.25">
      <c r="A10" s="31" t="s">
        <v>138</v>
      </c>
      <c r="B10" s="32" t="s">
        <v>153</v>
      </c>
      <c r="C10" s="33" t="s">
        <v>187</v>
      </c>
      <c r="D10" s="33" t="s">
        <v>188</v>
      </c>
      <c r="E10" s="34"/>
    </row>
    <row r="11" spans="1:77" x14ac:dyDescent="0.25">
      <c r="A11" s="35" t="s">
        <v>154</v>
      </c>
      <c r="B11" s="36">
        <v>117.47</v>
      </c>
      <c r="C11" s="36">
        <v>1</v>
      </c>
      <c r="D11" s="36" t="s">
        <v>136</v>
      </c>
      <c r="E11" s="37">
        <f>IF(I8=D11,B11,0)</f>
        <v>0</v>
      </c>
    </row>
    <row r="12" spans="1:77" x14ac:dyDescent="0.25">
      <c r="A12" s="35" t="s">
        <v>139</v>
      </c>
      <c r="B12" s="36">
        <v>144.34</v>
      </c>
      <c r="C12" s="36">
        <v>2</v>
      </c>
      <c r="D12" s="36" t="s">
        <v>172</v>
      </c>
      <c r="E12" s="37">
        <f>IF(I8=D12,B12,0)</f>
        <v>0</v>
      </c>
    </row>
    <row r="13" spans="1:77" x14ac:dyDescent="0.25">
      <c r="A13" s="35" t="s">
        <v>140</v>
      </c>
      <c r="B13" s="36">
        <v>144.83000000000001</v>
      </c>
      <c r="C13" s="36">
        <v>3</v>
      </c>
      <c r="D13" s="36" t="s">
        <v>178</v>
      </c>
      <c r="E13" s="37">
        <f>IF(I8=D13,B13,0)</f>
        <v>0</v>
      </c>
    </row>
    <row r="14" spans="1:77" x14ac:dyDescent="0.25">
      <c r="A14" s="35" t="s">
        <v>141</v>
      </c>
      <c r="B14" s="36">
        <v>146.87</v>
      </c>
      <c r="C14" s="36">
        <v>4</v>
      </c>
      <c r="D14" s="36" t="s">
        <v>177</v>
      </c>
      <c r="E14" s="37">
        <f>IF(I8=D14,B14,0)</f>
        <v>0</v>
      </c>
    </row>
    <row r="15" spans="1:77" x14ac:dyDescent="0.25">
      <c r="A15" s="35" t="s">
        <v>142</v>
      </c>
      <c r="B15" s="36">
        <v>157.12</v>
      </c>
      <c r="C15" s="36">
        <v>5</v>
      </c>
      <c r="D15" s="36" t="s">
        <v>171</v>
      </c>
      <c r="E15" s="37">
        <f>IF(I8=D15,B15,0)</f>
        <v>0</v>
      </c>
    </row>
    <row r="16" spans="1:77" x14ac:dyDescent="0.25">
      <c r="A16" s="35" t="s">
        <v>143</v>
      </c>
      <c r="B16" s="36">
        <v>161.11000000000001</v>
      </c>
      <c r="C16" s="36">
        <v>6</v>
      </c>
      <c r="D16" s="36" t="s">
        <v>173</v>
      </c>
      <c r="E16" s="37">
        <f>IF(I8=D16,B16,0)</f>
        <v>0</v>
      </c>
    </row>
    <row r="17" spans="1:5" x14ac:dyDescent="0.25">
      <c r="A17" s="35" t="s">
        <v>144</v>
      </c>
      <c r="B17" s="36">
        <v>161.86000000000001</v>
      </c>
      <c r="C17" s="36">
        <v>7</v>
      </c>
      <c r="D17" s="36" t="s">
        <v>170</v>
      </c>
      <c r="E17" s="37">
        <f>IF(I8=D17,B17,0)</f>
        <v>0</v>
      </c>
    </row>
    <row r="18" spans="1:5" x14ac:dyDescent="0.25">
      <c r="A18" s="35" t="s">
        <v>155</v>
      </c>
      <c r="B18" s="36">
        <v>176.91</v>
      </c>
      <c r="C18" s="36">
        <v>8</v>
      </c>
      <c r="D18" s="36" t="s">
        <v>169</v>
      </c>
      <c r="E18" s="37">
        <f>IF(I8=D18,B18,0)</f>
        <v>0</v>
      </c>
    </row>
    <row r="19" spans="1:5" x14ac:dyDescent="0.25">
      <c r="A19" s="35" t="s">
        <v>145</v>
      </c>
      <c r="B19" s="36">
        <v>189.88</v>
      </c>
      <c r="C19" s="36">
        <v>9</v>
      </c>
      <c r="D19" s="36" t="s">
        <v>176</v>
      </c>
      <c r="E19" s="37">
        <f>IF(I8=D19,B19,0)</f>
        <v>0</v>
      </c>
    </row>
    <row r="20" spans="1:5" x14ac:dyDescent="0.25">
      <c r="A20" s="35" t="s">
        <v>146</v>
      </c>
      <c r="B20" s="36">
        <v>193.56</v>
      </c>
      <c r="C20" s="36">
        <v>10</v>
      </c>
      <c r="D20" s="36" t="s">
        <v>174</v>
      </c>
      <c r="E20" s="37">
        <f>IF(I8=D20,B20,0)</f>
        <v>0</v>
      </c>
    </row>
    <row r="21" spans="1:5" x14ac:dyDescent="0.25">
      <c r="A21" s="35" t="s">
        <v>156</v>
      </c>
      <c r="B21" s="36">
        <v>217.51</v>
      </c>
      <c r="C21" s="36">
        <v>11</v>
      </c>
      <c r="D21" s="36" t="s">
        <v>164</v>
      </c>
      <c r="E21" s="37">
        <f>IF(I8=D21,B21,0)</f>
        <v>0</v>
      </c>
    </row>
    <row r="22" spans="1:5" x14ac:dyDescent="0.25">
      <c r="A22" s="35" t="s">
        <v>157</v>
      </c>
      <c r="B22" s="36">
        <v>225.44</v>
      </c>
      <c r="C22" s="36">
        <v>12</v>
      </c>
      <c r="D22" s="36" t="s">
        <v>168</v>
      </c>
      <c r="E22" s="37">
        <f>IF(I8=D22,B22,0)</f>
        <v>0</v>
      </c>
    </row>
    <row r="23" spans="1:5" x14ac:dyDescent="0.25">
      <c r="A23" s="35" t="s">
        <v>147</v>
      </c>
      <c r="B23" s="36">
        <v>238.51</v>
      </c>
      <c r="C23" s="36">
        <v>13</v>
      </c>
      <c r="D23" s="36" t="s">
        <v>162</v>
      </c>
      <c r="E23" s="37">
        <f>IF(B18=D23,B23,0)</f>
        <v>0</v>
      </c>
    </row>
    <row r="24" spans="1:5" x14ac:dyDescent="0.25">
      <c r="A24" s="35" t="s">
        <v>158</v>
      </c>
      <c r="B24" s="36">
        <v>245.51</v>
      </c>
      <c r="C24" s="36">
        <v>14</v>
      </c>
      <c r="D24" s="36" t="s">
        <v>163</v>
      </c>
      <c r="E24" s="37">
        <f>IF(I8=D24,B24,0)</f>
        <v>0</v>
      </c>
    </row>
    <row r="25" spans="1:5" x14ac:dyDescent="0.25">
      <c r="A25" s="35" t="s">
        <v>148</v>
      </c>
      <c r="B25" s="36">
        <v>260.45</v>
      </c>
      <c r="C25" s="36">
        <v>15</v>
      </c>
      <c r="D25" s="36" t="s">
        <v>161</v>
      </c>
      <c r="E25" s="37">
        <f>IF(I8=D25,B25,0)</f>
        <v>260.45</v>
      </c>
    </row>
    <row r="26" spans="1:5" x14ac:dyDescent="0.25">
      <c r="A26" s="35" t="s">
        <v>149</v>
      </c>
      <c r="B26" s="36">
        <v>303.33</v>
      </c>
      <c r="C26" s="36">
        <v>16</v>
      </c>
      <c r="D26" s="36" t="s">
        <v>165</v>
      </c>
      <c r="E26" s="37">
        <f>IF(I8=D26,B26,0)</f>
        <v>0</v>
      </c>
    </row>
    <row r="27" spans="1:5" x14ac:dyDescent="0.25">
      <c r="A27" s="35" t="s">
        <v>150</v>
      </c>
      <c r="B27" s="36">
        <v>316.79000000000002</v>
      </c>
      <c r="C27" s="36">
        <v>17</v>
      </c>
      <c r="D27" s="36" t="s">
        <v>175</v>
      </c>
      <c r="E27" s="37">
        <f>IF(I8=D27,B27,0)</f>
        <v>0</v>
      </c>
    </row>
    <row r="28" spans="1:5" x14ac:dyDescent="0.25">
      <c r="A28" s="35" t="s">
        <v>151</v>
      </c>
      <c r="B28" s="36">
        <v>330.21</v>
      </c>
      <c r="C28" s="36">
        <v>18</v>
      </c>
      <c r="D28" s="36" t="s">
        <v>40</v>
      </c>
      <c r="E28" s="37">
        <f>IF(I8=D28,B28,0)</f>
        <v>0</v>
      </c>
    </row>
    <row r="29" spans="1:5" x14ac:dyDescent="0.25">
      <c r="A29" s="35" t="s">
        <v>152</v>
      </c>
      <c r="B29" s="36">
        <v>339.24</v>
      </c>
      <c r="C29" s="36">
        <v>19</v>
      </c>
      <c r="D29" s="36" t="s">
        <v>166</v>
      </c>
      <c r="E29" s="37">
        <f>IF(I8=D29,B29,0)</f>
        <v>0</v>
      </c>
    </row>
    <row r="30" spans="1:5" ht="15.75" thickBot="1" x14ac:dyDescent="0.3">
      <c r="A30" s="38" t="s">
        <v>159</v>
      </c>
      <c r="B30" s="39">
        <v>397.29</v>
      </c>
      <c r="C30" s="39">
        <v>20</v>
      </c>
      <c r="D30" s="39" t="s">
        <v>167</v>
      </c>
      <c r="E30" s="40">
        <f>IF(I8=D30,B30,0)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Bienvenue</vt:lpstr>
      <vt:lpstr>empty</vt:lpstr>
      <vt:lpstr>Donnees</vt:lpstr>
      <vt:lpstr>DataClean</vt:lpstr>
      <vt:lpstr>tableauFormulaire </vt:lpstr>
      <vt:lpstr>Estimation</vt:lpstr>
      <vt:lpstr>Traitement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Garance Gabaut</dc:creator>
  <cp:lastModifiedBy>Garance Gabaut</cp:lastModifiedBy>
  <dcterms:created xsi:type="dcterms:W3CDTF">2023-10-25T20:25:34Z</dcterms:created>
  <dcterms:modified xsi:type="dcterms:W3CDTF">2023-12-13T18:39:46Z</dcterms:modified>
</cp:coreProperties>
</file>