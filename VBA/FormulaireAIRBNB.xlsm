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ran\Desktop\produit_digital\VBA\"/>
    </mc:Choice>
  </mc:AlternateContent>
  <xr:revisionPtr revIDLastSave="0" documentId="13_ncr:1_{4AC25A19-29F6-48C2-B81D-F9F4F2239F45}" xr6:coauthVersionLast="47" xr6:coauthVersionMax="47" xr10:uidLastSave="{00000000-0000-0000-0000-000000000000}"/>
  <bookViews>
    <workbookView xWindow="-110" yWindow="-110" windowWidth="19420" windowHeight="11020" xr2:uid="{D0BD4728-227B-4C76-9119-CEA83803AF99}"/>
  </bookViews>
  <sheets>
    <sheet name="Bienvenue" sheetId="5" r:id="rId1"/>
    <sheet name="empty" sheetId="6" state="hidden" r:id="rId2"/>
    <sheet name="Donnees" sheetId="4" r:id="rId3"/>
    <sheet name="tableauFormulaire " sheetId="3" r:id="rId4"/>
    <sheet name="Estimation" sheetId="1" r:id="rId5"/>
    <sheet name="Traitement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2" i="4" l="1"/>
  <c r="AE2" i="4"/>
  <c r="AD2" i="4"/>
  <c r="AQ2" i="4"/>
  <c r="AO2" i="4"/>
  <c r="AR2" i="4"/>
  <c r="AT2" i="4"/>
  <c r="AU2" i="4"/>
  <c r="AV2" i="4"/>
  <c r="AW2" i="4"/>
  <c r="AX2" i="4"/>
  <c r="AY2" i="4"/>
  <c r="AZ2" i="4"/>
  <c r="BA2" i="4"/>
  <c r="BB2" i="4"/>
  <c r="BC2" i="4"/>
  <c r="BD2" i="4"/>
  <c r="BE2" i="4"/>
  <c r="BF2" i="4"/>
  <c r="BG2" i="4"/>
  <c r="BH2" i="4"/>
  <c r="BI2" i="4"/>
  <c r="BJ2" i="4"/>
  <c r="BK2" i="4"/>
  <c r="BL2" i="4"/>
  <c r="AS2" i="4"/>
  <c r="B3" i="7" a="1"/>
  <c r="B3" i="7" s="1"/>
  <c r="D3" i="7" s="1"/>
  <c r="D2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<sst xmlns="http://schemas.openxmlformats.org/spreadsheetml/2006/main" count="158" uniqueCount="156">
  <si>
    <t>Futon</t>
  </si>
  <si>
    <t>Maison</t>
  </si>
  <si>
    <t xml:space="preserve">Appartement </t>
  </si>
  <si>
    <t xml:space="preserve">Canapé </t>
  </si>
  <si>
    <t>Canapé convertible</t>
  </si>
  <si>
    <t>Lit</t>
  </si>
  <si>
    <t>type de couchage</t>
  </si>
  <si>
    <t>de 0 à 10</t>
  </si>
  <si>
    <t>Politique d'annulation</t>
  </si>
  <si>
    <t>moderate</t>
  </si>
  <si>
    <t xml:space="preserve">flexible </t>
  </si>
  <si>
    <t>stricte</t>
  </si>
  <si>
    <t>super strict 60</t>
  </si>
  <si>
    <t>super strict 30</t>
  </si>
  <si>
    <t>type de structure</t>
  </si>
  <si>
    <t>Bed &amp; breakfast</t>
  </si>
  <si>
    <t>Loft</t>
  </si>
  <si>
    <t>Condominium</t>
  </si>
  <si>
    <t>Villa</t>
  </si>
  <si>
    <t>Cabine</t>
  </si>
  <si>
    <t>Camping Car</t>
  </si>
  <si>
    <t>Multiprorité</t>
  </si>
  <si>
    <t>Tipi</t>
  </si>
  <si>
    <t>Grotte</t>
  </si>
  <si>
    <t>Igloo</t>
  </si>
  <si>
    <t>Maison en terre</t>
  </si>
  <si>
    <t xml:space="preserve"> Boutique hôtel</t>
  </si>
  <si>
    <t>Appartement avec services hôteliers</t>
  </si>
  <si>
    <t>Auberge de jeunesse</t>
  </si>
  <si>
    <t>Bateau</t>
  </si>
  <si>
    <t xml:space="preserve">Bungalow </t>
  </si>
  <si>
    <t>Cabane dans les arbres</t>
  </si>
  <si>
    <t>Chalet</t>
  </si>
  <si>
    <t>Dortoir</t>
  </si>
  <si>
    <t>Hôtel</t>
  </si>
  <si>
    <t>Maison de ville</t>
  </si>
  <si>
    <t>Maison d'hotes</t>
  </si>
  <si>
    <t>Autre</t>
  </si>
  <si>
    <t>Matelas gonflable</t>
  </si>
  <si>
    <t>Arrondissement</t>
  </si>
  <si>
    <t>2ème</t>
  </si>
  <si>
    <t>1er</t>
  </si>
  <si>
    <t>3ème</t>
  </si>
  <si>
    <t>4ème</t>
  </si>
  <si>
    <t>5ème</t>
  </si>
  <si>
    <t>6ème</t>
  </si>
  <si>
    <t>7ème</t>
  </si>
  <si>
    <t>8ème</t>
  </si>
  <si>
    <t>9ème</t>
  </si>
  <si>
    <t>10ème</t>
  </si>
  <si>
    <t>11ème</t>
  </si>
  <si>
    <t>12ème</t>
  </si>
  <si>
    <t>13ème</t>
  </si>
  <si>
    <t>14ème</t>
  </si>
  <si>
    <t>15ème</t>
  </si>
  <si>
    <t>16ème</t>
  </si>
  <si>
    <t>17ème</t>
  </si>
  <si>
    <t>18ème</t>
  </si>
  <si>
    <t>19ème</t>
  </si>
  <si>
    <t>20ème</t>
  </si>
  <si>
    <t xml:space="preserve">Vous souhaitez faire de la location courte durée avec votre bien immobilier à Paris, mais vous ne savez pas comment vous y prendre ? </t>
  </si>
  <si>
    <t xml:space="preserve">Pas de panique ! </t>
  </si>
  <si>
    <r>
      <t xml:space="preserve">Cliquez sur le </t>
    </r>
    <r>
      <rPr>
        <b/>
        <sz val="14"/>
        <color theme="1"/>
        <rFont val="Tahoma"/>
        <family val="2"/>
      </rPr>
      <t>bouton juste en dessous</t>
    </r>
    <r>
      <rPr>
        <sz val="14"/>
        <color theme="1"/>
        <rFont val="Tahoma"/>
        <family val="2"/>
      </rPr>
      <t>, et on vous aide à trouver le</t>
    </r>
    <r>
      <rPr>
        <b/>
        <sz val="14"/>
        <color theme="1"/>
        <rFont val="Tahoma"/>
        <family val="2"/>
      </rPr>
      <t xml:space="preserve"> juste prix! </t>
    </r>
  </si>
  <si>
    <t>type de propriété</t>
  </si>
  <si>
    <t>Condo entier</t>
  </si>
  <si>
    <t>Unité de location entière</t>
  </si>
  <si>
    <t>Appartement entièrement meublé</t>
  </si>
  <si>
    <t>Maison entière</t>
  </si>
  <si>
    <t>Chambre privée dans une maison d'hôtes</t>
  </si>
  <si>
    <t>Chambre privée dans une auberge de jeunesse</t>
  </si>
  <si>
    <t>chambre privée dans un loft</t>
  </si>
  <si>
    <t>chambre privée dans une unité de location</t>
  </si>
  <si>
    <t xml:space="preserve">chambre dans un hôtel </t>
  </si>
  <si>
    <t>chambre d'hôtel</t>
  </si>
  <si>
    <t>chambre privée</t>
  </si>
  <si>
    <t>chambre dans un hôtel de charme</t>
  </si>
  <si>
    <t>prix traitement</t>
  </si>
  <si>
    <t>phrase</t>
  </si>
  <si>
    <t>moyenne</t>
  </si>
  <si>
    <t>bathrooms</t>
  </si>
  <si>
    <t>beds</t>
  </si>
  <si>
    <t>Dishwasher</t>
  </si>
  <si>
    <t>Coffee maker</t>
  </si>
  <si>
    <t>Coffee</t>
  </si>
  <si>
    <t>Bed linens</t>
  </si>
  <si>
    <t>Hot water kettle</t>
  </si>
  <si>
    <t>Crib</t>
  </si>
  <si>
    <t>Wine glasses</t>
  </si>
  <si>
    <t>Toaster</t>
  </si>
  <si>
    <t>Freezer</t>
  </si>
  <si>
    <t>Refrigerator</t>
  </si>
  <si>
    <t>Air conditioning</t>
  </si>
  <si>
    <t>TV</t>
  </si>
  <si>
    <t>Dining table</t>
  </si>
  <si>
    <t>Oven</t>
  </si>
  <si>
    <t>Cleaning products</t>
  </si>
  <si>
    <t>Microwave</t>
  </si>
  <si>
    <t>Dishes and sliverware</t>
  </si>
  <si>
    <t>Cooking basics</t>
  </si>
  <si>
    <t>Self check-in</t>
  </si>
  <si>
    <t>Dedicated workspace</t>
  </si>
  <si>
    <t>Hair dryer</t>
  </si>
  <si>
    <t>Clothing storage</t>
  </si>
  <si>
    <t>Baking sheet</t>
  </si>
  <si>
    <t>Shower gel</t>
  </si>
  <si>
    <t>Dryer</t>
  </si>
  <si>
    <t>Iron</t>
  </si>
  <si>
    <t>Bathtub</t>
  </si>
  <si>
    <t>Fire extinguisher</t>
  </si>
  <si>
    <t>Free washer</t>
  </si>
  <si>
    <t>Carbon monoxide alarm</t>
  </si>
  <si>
    <t>Building staff</t>
  </si>
  <si>
    <t>Books and reading material</t>
  </si>
  <si>
    <t>closet</t>
  </si>
  <si>
    <t>accommodates_squaret</t>
  </si>
  <si>
    <t>neighbourhood_cleansed_Batignolles_Monceau</t>
  </si>
  <si>
    <t>neighbourhood_cleansed_Bourse</t>
  </si>
  <si>
    <t>neighbourhood_cleansed_Buttes-Montmartre</t>
  </si>
  <si>
    <t>neighbourhood_cleansed_Entrepôt</t>
  </si>
  <si>
    <t>neighbourhood_cleansed_Gobelins</t>
  </si>
  <si>
    <t>neighbourhood_cleansed_Hôtel-de-Ville</t>
  </si>
  <si>
    <t>neighbourhood_cleansed_Louvre</t>
  </si>
  <si>
    <t>neighbourhood_cleansed_Luxembourg</t>
  </si>
  <si>
    <t>neighbourhood_cleansed_Ménilmontant</t>
  </si>
  <si>
    <t>neighbourhood_cleansed_Observatoire</t>
  </si>
  <si>
    <t>neighbourhood_cleansed_Opéra</t>
  </si>
  <si>
    <t>neighbourhood_cleansed_Palais-Bourbon</t>
  </si>
  <si>
    <t>neighbourhood_cleansed_Panthéon</t>
  </si>
  <si>
    <t>neighbourhood_cleansed_Passy</t>
  </si>
  <si>
    <t>neighbourhood_cleansed_Popincourt</t>
  </si>
  <si>
    <t>neighbourhood_cleansed_Reuilly</t>
  </si>
  <si>
    <t>neighbourhood_cleansed_Vaugirard</t>
  </si>
  <si>
    <t>neighbourhood_cleansed_Temple</t>
  </si>
  <si>
    <t>neighbourhood_cleansed_Elysée</t>
  </si>
  <si>
    <t>property_type_Entire condo</t>
  </si>
  <si>
    <t>property_type_Entire unit</t>
  </si>
  <si>
    <t>property_type_Entire townhouse</t>
  </si>
  <si>
    <t>property_type_Private room in guesthouse</t>
  </si>
  <si>
    <t>property_type_Private room in hostel</t>
  </si>
  <si>
    <t>property_type_Private room in loft</t>
  </si>
  <si>
    <t>property_type_Private room in rental unit</t>
  </si>
  <si>
    <t xml:space="preserve">property_type_Room in boutique hotel </t>
  </si>
  <si>
    <t xml:space="preserve">property_type_Room in hotel </t>
  </si>
  <si>
    <t>property_type_Hotel room</t>
  </si>
  <si>
    <t>property_type_Private room</t>
  </si>
  <si>
    <t>accommodates</t>
  </si>
  <si>
    <t>Hot water</t>
  </si>
  <si>
    <t>Body soap</t>
  </si>
  <si>
    <t>Drying rack for clothing</t>
  </si>
  <si>
    <t>Free dryer</t>
  </si>
  <si>
    <t>bed_squared</t>
  </si>
  <si>
    <t>bedrooms_squared</t>
  </si>
  <si>
    <t>bathrooms_squared</t>
  </si>
  <si>
    <t>neighbourhood_cleansed_Buttes-Chaumont</t>
  </si>
  <si>
    <t>property_type_Entire serviced apartement</t>
  </si>
  <si>
    <t>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</si>
</sst>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Tahoma"/>
      <family val="2"/>
    </font>
    <font>
      <b/>
      <sz val="14"/>
      <color theme="1"/>
      <name val="Tahoma"/>
      <family val="2"/>
    </font>
    <font>
      <sz val="22"/>
      <color theme="1"/>
      <name val="Tahoma"/>
      <family val="2"/>
    </font>
    <font>
      <sz val="18"/>
      <color theme="1"/>
      <name val="Tahoma"/>
      <family val="2"/>
    </font>
    <font>
      <b/>
      <sz val="22"/>
      <color theme="1"/>
      <name val="Tahoma"/>
      <family val="2"/>
    </font>
    <font>
      <b/>
      <sz val="26"/>
      <color theme="1"/>
      <name val="Tahoma"/>
      <family val="2"/>
    </font>
    <font>
      <sz val="8"/>
      <color rgb="FF000000"/>
      <name val="Inherit"/>
    </font>
    <font>
      <sz val="12"/>
      <color theme="1"/>
      <name val="Tahoma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9F6E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2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2" borderId="0" xfId="0" applyFill="1"/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8" fillId="0" borderId="0" xfId="0" applyFont="1" applyAlignment="1">
      <alignment vertical="center" wrapText="1"/>
    </xf>
    <xf numFmtId="0" fontId="9" fillId="2" borderId="0" xfId="0" applyFont="1" applyFill="1"/>
    <xf numFmtId="2" fontId="2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vertical="center"/>
    </xf>
    <xf numFmtId="0" fontId="0" fillId="2" borderId="0" xfId="0" applyFill="1" applyAlignment="1">
      <alignment wrapText="1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/>
    <xf numFmtId="2" fontId="6" fillId="2" borderId="0" xfId="0" applyNumberFormat="1" applyFont="1" applyFill="1"/>
    <xf numFmtId="0" fontId="5" fillId="2" borderId="0" xfId="0" applyFont="1" applyFill="1"/>
    <xf numFmtId="2" fontId="7" fillId="2" borderId="0" xfId="0" applyNumberFormat="1" applyFont="1" applyFill="1"/>
    <xf numFmtId="0" fontId="9" fillId="2" borderId="0" xfId="0" applyFont="1" applyFill="1" applyAlignment="1">
      <alignment vertical="top" wrapText="1"/>
    </xf>
  </cellXfs>
  <cellStyles count="1">
    <cellStyle name="Normal" xfId="0" builtinId="0"/>
  </cellStyles>
  <dxfs count="77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colors>
    <mruColors>
      <color rgb="FFF1EABD"/>
      <color rgb="FFF9F6E3"/>
      <color rgb="FFF9F2E3"/>
      <color rgb="FFFFEE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761999</xdr:colOff>
      <xdr:row>3</xdr:row>
      <xdr:rowOff>679794</xdr:rowOff>
    </xdr:from>
    <xdr:to>
      <xdr:col>11</xdr:col>
      <xdr:colOff>365124</xdr:colOff>
      <xdr:row>16</xdr:row>
      <xdr:rowOff>140782</xdr:rowOff>
    </xdr:to>
    <xdr:pic>
      <xdr:nvPicPr>
        <xdr:cNvPr id="2" name="Image 1" descr="Une image contenant bâtiment&#10;&#10;Description générée automatiquemen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053" b="10271"/>
        <a:stretch/>
      </xdr:blipFill>
      <xdr:spPr>
        <a:xfrm>
          <a:off x="7800974" y="1251294"/>
          <a:ext cx="3413125" cy="2737588"/>
        </a:xfrm>
        <a:prstGeom prst="rect">
          <a:avLst/>
        </a:prstGeom>
      </xdr:spPr>
    </xdr:pic>
    <xdr:clientData/>
  </xdr:twoCellAnchor>
  <xdr:twoCellAnchor>
    <xdr:from>
      <xdr:col>1</xdr:col>
      <xdr:colOff>450850</xdr:colOff>
      <xdr:row>10</xdr:row>
      <xdr:rowOff>172335</xdr:rowOff>
    </xdr:from>
    <xdr:to>
      <xdr:col>5</xdr:col>
      <xdr:colOff>242232</xdr:colOff>
      <xdr:row>16</xdr:row>
      <xdr:rowOff>180043</xdr:rowOff>
    </xdr:to>
    <xdr:sp macro="[0]!ExecuteAllTask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250950" y="2794885"/>
          <a:ext cx="5569882" cy="1112608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Estimer</a:t>
          </a:r>
          <a:r>
            <a:rPr lang="fr-FR" sz="2000" b="1" baseline="0"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le prix d'une nuit dans mon bien à Paris, sur AirBNB</a:t>
          </a:r>
          <a:endParaRPr lang="fr-FR" sz="2000" b="1"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</xdr:col>
      <xdr:colOff>4305299</xdr:colOff>
      <xdr:row>8</xdr:row>
      <xdr:rowOff>52457</xdr:rowOff>
    </xdr:from>
    <xdr:to>
      <xdr:col>5</xdr:col>
      <xdr:colOff>377488</xdr:colOff>
      <xdr:row>10</xdr:row>
      <xdr:rowOff>111125</xdr:rowOff>
    </xdr:to>
    <xdr:pic>
      <xdr:nvPicPr>
        <xdr:cNvPr id="6" name="Image 5" descr="Une image contenant noir, obscurité&#10;&#10;Description générée automatiquement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6235699" y="2046357"/>
          <a:ext cx="720389" cy="687318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</xdr:colOff>
      <xdr:row>8</xdr:row>
      <xdr:rowOff>23882</xdr:rowOff>
    </xdr:from>
    <xdr:to>
      <xdr:col>3</xdr:col>
      <xdr:colOff>34923</xdr:colOff>
      <xdr:row>10</xdr:row>
      <xdr:rowOff>112057</xdr:rowOff>
    </xdr:to>
    <xdr:pic>
      <xdr:nvPicPr>
        <xdr:cNvPr id="7" name="Image 6" descr="Une image contenant noir, obscurité&#10;&#10;Description générée automatiquement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8875" y="2347982"/>
          <a:ext cx="714373" cy="7295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2</xdr:row>
          <xdr:rowOff>0</xdr:rowOff>
        </xdr:from>
        <xdr:to>
          <xdr:col>6</xdr:col>
          <xdr:colOff>184150</xdr:colOff>
          <xdr:row>4</xdr:row>
          <xdr:rowOff>508000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624957</xdr:colOff>
      <xdr:row>5</xdr:row>
      <xdr:rowOff>44284</xdr:rowOff>
    </xdr:from>
    <xdr:to>
      <xdr:col>13</xdr:col>
      <xdr:colOff>704850</xdr:colOff>
      <xdr:row>10</xdr:row>
      <xdr:rowOff>66674</xdr:rowOff>
    </xdr:to>
    <xdr:sp macro="[0]!ExitEstimati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8797407" y="1060284"/>
          <a:ext cx="1565793" cy="103839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Retourner</a:t>
          </a:r>
          <a:r>
            <a:rPr lang="fr-FR" sz="1400" b="1" baseline="0"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à la page d'acceuil</a:t>
          </a:r>
          <a:endParaRPr lang="fr-FR" sz="1400" b="1"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7</xdr:col>
      <xdr:colOff>154763</xdr:colOff>
      <xdr:row>3</xdr:row>
      <xdr:rowOff>198975</xdr:rowOff>
    </xdr:from>
    <xdr:to>
      <xdr:col>10</xdr:col>
      <xdr:colOff>663355</xdr:colOff>
      <xdr:row>14</xdr:row>
      <xdr:rowOff>128326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72071" y="1099140"/>
          <a:ext cx="2916009" cy="2155340"/>
        </a:xfrm>
        <a:prstGeom prst="roundRect">
          <a:avLst>
            <a:gd name="adj" fmla="val 10122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127000</xdr:colOff>
      <xdr:row>1</xdr:row>
      <xdr:rowOff>419100</xdr:rowOff>
    </xdr:from>
    <xdr:to>
      <xdr:col>3</xdr:col>
      <xdr:colOff>565150</xdr:colOff>
      <xdr:row>7</xdr:row>
      <xdr:rowOff>44450</xdr:rowOff>
    </xdr:to>
    <xdr:sp macro="" textlink="Traitement!D2">
      <xdr:nvSpPr>
        <xdr:cNvPr id="5" name="Rectangle : coins arrondis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927100" y="622300"/>
          <a:ext cx="2038350" cy="1136650"/>
        </a:xfrm>
        <a:prstGeom prst="roundRect">
          <a:avLst>
            <a:gd name="adj" fmla="val 17784"/>
          </a:avLst>
        </a:prstGeom>
        <a:solidFill>
          <a:srgbClr val="F1EABD"/>
        </a:solidFill>
        <a:ln w="19050"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0843FC57-6DFC-4991-9759-AD19B6F7A10D}" type="TxLink">
            <a:rPr lang="en-US" sz="1400" b="0" i="0" u="none" strike="noStrike">
              <a:solidFill>
                <a:srgbClr val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ctr"/>
            <a:t>Le prix que nous vous recommandons est 101010 $</a:t>
          </a:fld>
          <a:endParaRPr lang="fr-FR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7</xdr:col>
      <xdr:colOff>55823</xdr:colOff>
      <xdr:row>1</xdr:row>
      <xdr:rowOff>238508</xdr:rowOff>
    </xdr:from>
    <xdr:to>
      <xdr:col>10</xdr:col>
      <xdr:colOff>739671</xdr:colOff>
      <xdr:row>15</xdr:row>
      <xdr:rowOff>13957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5673131" y="440871"/>
          <a:ext cx="3091265" cy="2901602"/>
        </a:xfrm>
        <a:prstGeom prst="roundRect">
          <a:avLst>
            <a:gd name="adj" fmla="val 7443"/>
          </a:avLst>
        </a:prstGeom>
        <a:noFill/>
        <a:ln w="19050"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400" b="0" i="0" u="none" strike="noStrike">
              <a:solidFill>
                <a:srgbClr val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La concurrence est rude dans certains quartiers …</a:t>
          </a:r>
        </a:p>
      </xdr:txBody>
    </xdr:sp>
    <xdr:clientData/>
  </xdr:twoCellAnchor>
  <xdr:twoCellAnchor>
    <xdr:from>
      <xdr:col>1</xdr:col>
      <xdr:colOff>64999</xdr:colOff>
      <xdr:row>8</xdr:row>
      <xdr:rowOff>77387</xdr:rowOff>
    </xdr:from>
    <xdr:to>
      <xdr:col>3</xdr:col>
      <xdr:colOff>655934</xdr:colOff>
      <xdr:row>13</xdr:row>
      <xdr:rowOff>201351</xdr:rowOff>
    </xdr:to>
    <xdr:sp macro="" textlink="Traitement!D3">
      <xdr:nvSpPr>
        <xdr:cNvPr id="13" name="Rectangle : coins arrondis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825603" y="1989365"/>
          <a:ext cx="2112144" cy="1135777"/>
        </a:xfrm>
        <a:prstGeom prst="roundRect">
          <a:avLst>
            <a:gd name="adj" fmla="val 17784"/>
          </a:avLst>
        </a:prstGeom>
        <a:solidFill>
          <a:srgbClr val="F1EABD"/>
        </a:solidFill>
        <a:ln w="19050"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B26DB410-C1F5-41E9-84B9-ED514DFAEEE4}" type="TxLink">
            <a:rPr lang="en-US" sz="1400" b="0" i="0" u="none" strike="noStrike">
              <a:solidFill>
                <a:srgbClr val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ctr"/>
            <a:t>Le prix moyen dans le 3 arrondissement est 100 $</a:t>
          </a:fld>
          <a:endParaRPr lang="fr-FR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DEB0365-E448-4934-A8E7-ECB335C5AF85}" name="Tableau4" displayName="Tableau4" ref="A1:BX2" totalsRowShown="0" dataDxfId="76">
  <autoFilter ref="A1:BX2" xr:uid="{2DEB0365-E448-4934-A8E7-ECB335C5AF85}"/>
  <tableColumns count="76">
    <tableColumn id="1" xr3:uid="{684A906C-671F-41CF-B0DF-92B8C10FE190}" name="accommodates" dataDxfId="75"/>
    <tableColumn id="8" xr3:uid="{090347DD-0940-4B3C-A7A9-33A5968C3D35}" name="bathrooms" dataDxfId="74"/>
    <tableColumn id="2" xr3:uid="{809363AA-E47E-4735-AF91-F5380B70F83E}" name="beds" dataDxfId="73"/>
    <tableColumn id="9" xr3:uid="{E7110CB5-2366-4B39-AA2A-8E23B78D0E99}" name="Dishwasher" dataDxfId="72"/>
    <tableColumn id="3" xr3:uid="{9FA9C220-E8D2-40A4-8053-C0F1E1A5FEED}" name="Coffee" dataDxfId="71"/>
    <tableColumn id="4" xr3:uid="{F614A784-A533-4D58-8A8A-8204919CA520}" name="Coffee maker" dataDxfId="70"/>
    <tableColumn id="5" xr3:uid="{BB5750F6-322A-4D8C-BE09-9D238ADCB176}" name="Bed linens" dataDxfId="69"/>
    <tableColumn id="6" xr3:uid="{4C0A715A-359F-417B-BA75-ED062CC80892}" name="Hot water kettle" dataDxfId="68"/>
    <tableColumn id="7" xr3:uid="{1400E511-BE93-489F-88DB-86696D869C18}" name="Crib" dataDxfId="67"/>
    <tableColumn id="10" xr3:uid="{53287ED5-0D25-4250-9BE9-EF982484F8AC}" name="Wine glasses" dataDxfId="66"/>
    <tableColumn id="11" xr3:uid="{712633DF-A6A4-4836-AF73-F9BAFE351492}" name="Toaster" dataDxfId="65"/>
    <tableColumn id="12" xr3:uid="{5F1FEA49-3F3D-48C6-8AE4-075714BC2C2B}" name="Freezer" dataDxfId="64"/>
    <tableColumn id="13" xr3:uid="{2E7DA36F-1E51-4E08-9792-9915E94F0A2E}" name="Refrigerator" dataDxfId="63"/>
    <tableColumn id="14" xr3:uid="{FFFBEDAD-1417-4D52-BAF1-3987477415AC}" name="Air conditioning" dataDxfId="62"/>
    <tableColumn id="15" xr3:uid="{DEBCB502-4A69-4710-B706-9E2E9ED149C4}" name="TV" dataDxfId="61"/>
    <tableColumn id="16" xr3:uid="{CBAF676E-82E9-4DED-9B8A-7A395B1FA8B7}" name="Dining table" dataDxfId="60"/>
    <tableColumn id="17" xr3:uid="{96809AC5-6A65-4177-B8B8-84CB6119D535}" name="Oven" dataDxfId="59"/>
    <tableColumn id="18" xr3:uid="{66CFD132-D332-43A2-BF0C-AFE8ECBEA31D}" name="Cleaning products" dataDxfId="58"/>
    <tableColumn id="19" xr3:uid="{63C436FC-A490-4E3A-8AF9-69DC52410A78}" name="Microwave" dataDxfId="57"/>
    <tableColumn id="73" xr3:uid="{2FFA3570-E988-4C8D-BD79-0FEFA8E7879E}" name="Hot water" dataDxfId="56"/>
    <tableColumn id="21" xr3:uid="{D61A8FC0-DE06-4BE9-AFCE-BAA89EDFD6D4}" name="Dishes and sliverware" dataDxfId="55"/>
    <tableColumn id="22" xr3:uid="{DFD3A327-56AA-4566-B460-545AE2085F44}" name="Cooking basics" dataDxfId="54"/>
    <tableColumn id="23" xr3:uid="{8A4D1230-B993-4EA9-9020-0A73A6FD041E}" name="Self check-in" dataDxfId="53"/>
    <tableColumn id="24" xr3:uid="{EDE5EB89-E5CE-4725-8A14-19501B48F477}" name="Dedicated workspace" dataDxfId="52"/>
    <tableColumn id="25" xr3:uid="{337BDFEB-6D7F-4894-99B0-AFB8BF5AD589}" name="Hair dryer" dataDxfId="51"/>
    <tableColumn id="26" xr3:uid="{F10ED563-419A-477A-93D4-511FAAF9A97E}" name="Clothing storage" dataDxfId="50"/>
    <tableColumn id="27" xr3:uid="{46EC37D9-14F8-4EC3-A480-BDCCED5DAB04}" name="Baking sheet" dataDxfId="49"/>
    <tableColumn id="28" xr3:uid="{D76E05EE-055F-453E-9F8A-C8A01CBB5C82}" name="Shower gel" dataDxfId="48"/>
    <tableColumn id="29" xr3:uid="{C0E0EA11-BBE8-4B00-9F12-F634E14DDE8E}" name="Dryer" dataDxfId="47"/>
    <tableColumn id="74" xr3:uid="{AED96BD2-213A-484A-A2B8-E207E092A838}" name="Body soap" dataDxfId="46">
      <calculatedColumnFormula>Tableau4[[#This Row],[Shower gel]]</calculatedColumnFormula>
    </tableColumn>
    <tableColumn id="75" xr3:uid="{2A16966E-4396-45E6-B918-7DF14A66E615}" name="Drying rack for clothing" dataDxfId="45">
      <calculatedColumnFormula>Tableau4[[#This Row],[Dryer]]</calculatedColumnFormula>
    </tableColumn>
    <tableColumn id="30" xr3:uid="{99E88F38-DC08-4488-A380-A12A7157E2FF}" name="Iron" dataDxfId="44"/>
    <tableColumn id="76" xr3:uid="{CE1B5C0C-7FEE-42ED-9409-138BEC61A1A3}" name="Free dryer" dataDxfId="43">
      <calculatedColumnFormula>Tableau4[[#This Row],[Dryer]]</calculatedColumnFormula>
    </tableColumn>
    <tableColumn id="31" xr3:uid="{468F4A40-E403-4438-9A69-6DCEF95C799B}" name="Bathtub" dataDxfId="42"/>
    <tableColumn id="32" xr3:uid="{3E50C910-973B-46BD-9367-0935F6967B1E}" name="Fire extinguisher" dataDxfId="41"/>
    <tableColumn id="33" xr3:uid="{0F6E2B0E-3214-4A25-B701-E186DED8669F}" name="Free washer" dataDxfId="40"/>
    <tableColumn id="34" xr3:uid="{700687BB-B926-4318-B9B8-1D715B9F8BAF}" name="Carbon monoxide alarm" dataDxfId="39"/>
    <tableColumn id="35" xr3:uid="{6F79B386-4C2B-4BC2-B54F-B8FE4A4C42BA}" name="Building staff" dataDxfId="38"/>
    <tableColumn id="36" xr3:uid="{76095C12-1C37-47EF-815A-F1638F37FDF6}" name="Books and reading material" dataDxfId="37"/>
    <tableColumn id="37" xr3:uid="{F197EEEB-609C-429E-8A15-4B8D7C6020EA}" name="closet" dataDxfId="36"/>
    <tableColumn id="38" xr3:uid="{B65FB4A3-20BC-4278-818F-828357D33835}" name="accommodates_squaret" dataDxfId="35">
      <calculatedColumnFormula>Tableau4[[#This Row],[accommodates]]^2</calculatedColumnFormula>
    </tableColumn>
    <tableColumn id="77" xr3:uid="{140663D3-3B8F-4448-9DE8-A9B8673DAE3A}" name="bedrooms_squared" dataDxfId="34"/>
    <tableColumn id="78" xr3:uid="{F8387F5F-B242-43ED-B190-657EEE3BA87D}" name="bathrooms_squared" dataDxfId="33">
      <calculatedColumnFormula>Tableau4[[#This Row],[bathrooms]]^2</calculatedColumnFormula>
    </tableColumn>
    <tableColumn id="39" xr3:uid="{DC1AD785-6138-4546-B7C1-C9B771D27304}" name="bed_squared" dataDxfId="32">
      <calculatedColumnFormula>Tableau4[[#This Row],[beds]]^2</calculatedColumnFormula>
    </tableColumn>
    <tableColumn id="40" xr3:uid="{28AB5B42-0353-4475-BE1C-C9B88DA998A8}" name="neighbourhood_cleansed_Batignolles_Monceau" dataDxfId="31">
      <calculatedColumnFormula>IF(AS3=TRUE,1,0)</calculatedColumnFormula>
    </tableColumn>
    <tableColumn id="41" xr3:uid="{9511FF1F-4260-483E-B0F2-A4872D38E019}" name="neighbourhood_cleansed_Bourse" dataDxfId="30">
      <calculatedColumnFormula>IF(AT3=TRUE,1,0)</calculatedColumnFormula>
    </tableColumn>
    <tableColumn id="42" xr3:uid="{5EE6E333-224A-49FF-AE5D-3DAAC45FF3D3}" name="neighbourhood_cleansed_Buttes-Chaumont" dataDxfId="29">
      <calculatedColumnFormula>IF(AU3=TRUE,1,0)</calculatedColumnFormula>
    </tableColumn>
    <tableColumn id="43" xr3:uid="{4C243AF9-BE32-43C6-928E-EAFFFD508569}" name="neighbourhood_cleansed_Buttes-Montmartre" dataDxfId="28">
      <calculatedColumnFormula>IF(AV3=TRUE,1,0)</calculatedColumnFormula>
    </tableColumn>
    <tableColumn id="44" xr3:uid="{13444BCD-1F00-4162-B339-CD3A7C49FAD4}" name="neighbourhood_cleansed_Entrepôt" dataDxfId="27">
      <calculatedColumnFormula>IF(AW3=TRUE,1,0)</calculatedColumnFormula>
    </tableColumn>
    <tableColumn id="45" xr3:uid="{3E8E42A1-2BC9-462E-A994-065E970B739B}" name="neighbourhood_cleansed_Gobelins" dataDxfId="26">
      <calculatedColumnFormula>IF(AX3=TRUE,1,0)</calculatedColumnFormula>
    </tableColumn>
    <tableColumn id="46" xr3:uid="{7B249CA4-7CCA-4CAF-8E8D-D4850CCBCD8C}" name="neighbourhood_cleansed_Hôtel-de-Ville" dataDxfId="25">
      <calculatedColumnFormula>IF(AY3=TRUE,1,0)</calculatedColumnFormula>
    </tableColumn>
    <tableColumn id="47" xr3:uid="{A04B0801-74A5-454B-9E71-4042B7325C81}" name="neighbourhood_cleansed_Louvre" dataDxfId="24">
      <calculatedColumnFormula>IF(AZ3=TRUE,1,0)</calculatedColumnFormula>
    </tableColumn>
    <tableColumn id="48" xr3:uid="{34F3390D-4FF8-4448-822D-4C6A30BC56D6}" name="neighbourhood_cleansed_Luxembourg" dataDxfId="23">
      <calculatedColumnFormula>IF(BA3=TRUE,1,0)</calculatedColumnFormula>
    </tableColumn>
    <tableColumn id="49" xr3:uid="{F000BEC8-6976-4C0D-A1D8-5FF22F9D7757}" name="neighbourhood_cleansed_Ménilmontant" dataDxfId="22">
      <calculatedColumnFormula>IF(BB3=TRUE,1,0)</calculatedColumnFormula>
    </tableColumn>
    <tableColumn id="50" xr3:uid="{34B4D596-7248-4A13-895B-ABD6B30DFDE5}" name="neighbourhood_cleansed_Observatoire" dataDxfId="21">
      <calculatedColumnFormula>IF(BC3=TRUE,1,0)</calculatedColumnFormula>
    </tableColumn>
    <tableColumn id="51" xr3:uid="{1C8F6A85-42B5-49BD-9C93-BD2E7896430B}" name="neighbourhood_cleansed_Opéra" dataDxfId="20">
      <calculatedColumnFormula>IF(BD3=TRUE,1,0)</calculatedColumnFormula>
    </tableColumn>
    <tableColumn id="52" xr3:uid="{2C009553-8E69-4383-A3C9-BFC6407B072E}" name="neighbourhood_cleansed_Palais-Bourbon" dataDxfId="19">
      <calculatedColumnFormula>IF(BE3=TRUE,1,0)</calculatedColumnFormula>
    </tableColumn>
    <tableColumn id="53" xr3:uid="{0712F701-3FBA-4D89-BC20-A4C90B7243BC}" name="neighbourhood_cleansed_Panthéon" dataDxfId="18">
      <calculatedColumnFormula>IF(BF3=TRUE,1,0)</calculatedColumnFormula>
    </tableColumn>
    <tableColumn id="54" xr3:uid="{BF48E10C-57DA-4114-98B7-4295B2B179ED}" name="neighbourhood_cleansed_Passy" dataDxfId="17">
      <calculatedColumnFormula>IF(BG3=TRUE,1,0)</calculatedColumnFormula>
    </tableColumn>
    <tableColumn id="55" xr3:uid="{24F1D10F-D2C5-49E3-8BE5-6B6F4E231EC8}" name="neighbourhood_cleansed_Popincourt" dataDxfId="16">
      <calculatedColumnFormula>IF(BH3=TRUE,1,0)</calculatedColumnFormula>
    </tableColumn>
    <tableColumn id="56" xr3:uid="{313441FB-22D0-4623-8348-1B5E0991F092}" name="neighbourhood_cleansed_Reuilly" dataDxfId="15">
      <calculatedColumnFormula>IF(BI3=TRUE,1,0)</calculatedColumnFormula>
    </tableColumn>
    <tableColumn id="57" xr3:uid="{07E3F9BA-1C8C-4315-A0C0-0A6FADF47404}" name="neighbourhood_cleansed_Temple" dataDxfId="14">
      <calculatedColumnFormula>IF(BJ3=TRUE,1,0)</calculatedColumnFormula>
    </tableColumn>
    <tableColumn id="58" xr3:uid="{4657BA8C-C75A-4812-9B98-A7185DFABE27}" name="neighbourhood_cleansed_Vaugirard" dataDxfId="13">
      <calculatedColumnFormula>IF(BK3=TRUE,1,0)</calculatedColumnFormula>
    </tableColumn>
    <tableColumn id="59" xr3:uid="{2DDAC467-37A4-42D9-AB2E-8960B4AA8FDF}" name="neighbourhood_cleansed_Elysée" dataDxfId="12">
      <calculatedColumnFormula>IF(BL3=TRUE,1,0)</calculatedColumnFormula>
    </tableColumn>
    <tableColumn id="60" xr3:uid="{1E2709DB-E0F3-4F13-B52E-E727F1DB78F0}" name="property_type_Entire condo" dataDxfId="11"/>
    <tableColumn id="61" xr3:uid="{C5B48FD5-C531-40CB-800B-AA50EEE09889}" name="property_type_Entire unit" dataDxfId="10"/>
    <tableColumn id="62" xr3:uid="{8E75A02C-7A83-47F3-96DE-6949B8F8F2C9}" name="property_type_Entire serviced apartement" dataDxfId="9"/>
    <tableColumn id="63" xr3:uid="{A9D18C72-723B-44BE-AF5D-D92FC2E1D879}" name="property_type_Entire townhouse" dataDxfId="8"/>
    <tableColumn id="65" xr3:uid="{06BFE305-9438-41BE-9888-A434D067DDEA}" name="property_type_Private room in guesthouse" dataDxfId="7"/>
    <tableColumn id="66" xr3:uid="{61F6129E-A9AF-4DAC-BFFF-D03D78B4443B}" name="property_type_Private room in hostel" dataDxfId="6"/>
    <tableColumn id="67" xr3:uid="{557EF928-1FE3-4772-917F-E88D816E5253}" name="property_type_Private room in loft" dataDxfId="5"/>
    <tableColumn id="68" xr3:uid="{0F415C48-FAB2-4439-8CB5-9214DD4C344D}" name="property_type_Private room in rental unit" dataDxfId="4"/>
    <tableColumn id="69" xr3:uid="{A2ED5ECD-6608-4A81-9520-A0CD2586C2A9}" name="property_type_Room in boutique hotel " dataDxfId="3"/>
    <tableColumn id="70" xr3:uid="{8F91DFE5-BFA9-4187-B5FC-77C3AAB07A88}" name="property_type_Room in hotel " dataDxfId="2"/>
    <tableColumn id="71" xr3:uid="{776F633B-6CEB-4371-8F39-9221A2162ACE}" name="property_type_Hotel room" dataDxfId="1"/>
    <tableColumn id="72" xr3:uid="{8D0292DB-0F62-4737-A03F-45B83E4114E9}" name="property_type_Private room" dataDxfId="0"/>
  </tableColumns>
  <tableStyleInfo name="TableStyleLight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4241E4-9E86-4775-89A1-080C9592C490}" name="tabNum" displayName="tabNum" ref="A1:A12" totalsRowShown="0">
  <autoFilter ref="A1:A12" xr:uid="{8B4241E4-9E86-4775-89A1-080C9592C490}"/>
  <sortState xmlns:xlrd2="http://schemas.microsoft.com/office/spreadsheetml/2017/richdata2" ref="A2:A12">
    <sortCondition ref="A1:A12"/>
  </sortState>
  <tableColumns count="1">
    <tableColumn id="1" xr3:uid="{20B22873-B7CC-4529-BAAD-2852058ABDC2}" name="de 0 à 10"/>
  </tableColumns>
  <tableStyleInfo name="TableStyleLight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6CF65C5-F847-4ACB-979D-CEA1024DAFBD}" name="tabTypeCouchage" displayName="tabTypeCouchage" ref="B1:B6" totalsRowShown="0">
  <autoFilter ref="B1:B6" xr:uid="{26CF65C5-F847-4ACB-979D-CEA1024DAFBD}"/>
  <sortState xmlns:xlrd2="http://schemas.microsoft.com/office/spreadsheetml/2017/richdata2" ref="B2:B5">
    <sortCondition ref="B1:B5"/>
  </sortState>
  <tableColumns count="1">
    <tableColumn id="1" xr3:uid="{EC73E858-4DBC-456E-83E0-0E2574E17153}" name="type de couchage"/>
  </tableColumns>
  <tableStyleInfo name="TableStyleLight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F01229-1866-4ABF-BFD0-888D59B63DCB}" name="TabTypeLogement" displayName="TabTypeLogement" ref="C1:C26" totalsRowShown="0">
  <autoFilter ref="C1:C26" xr:uid="{09F01229-1866-4ABF-BFD0-888D59B63DCB}"/>
  <sortState xmlns:xlrd2="http://schemas.microsoft.com/office/spreadsheetml/2017/richdata2" ref="C2:C25">
    <sortCondition ref="C1:C25"/>
  </sortState>
  <tableColumns count="1">
    <tableColumn id="1" xr3:uid="{2D1570B9-C565-4EC7-AA68-86B321B5A3EB}" name="type de structure"/>
  </tableColumns>
  <tableStyleInfo name="TableStyleLight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52EA75-DE71-4B52-87B6-73822A1CA7D0}" name="tabNum6" displayName="tabNum6" ref="D1:D6" totalsRowShown="0">
  <autoFilter ref="D1:D6" xr:uid="{5752EA75-DE71-4B52-87B6-73822A1CA7D0}"/>
  <sortState xmlns:xlrd2="http://schemas.microsoft.com/office/spreadsheetml/2017/richdata2" ref="D2:D12">
    <sortCondition ref="D1:D12"/>
  </sortState>
  <tableColumns count="1">
    <tableColumn id="1" xr3:uid="{58B23F74-F8C4-465F-B369-7E3E95CE8CD9}" name="Politique d'annulation"/>
  </tableColumns>
  <tableStyleInfo name="TableStyleLight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FDE44B9-DF4D-4A29-80D9-EE7C6A7F4E5F}" name="tabTypeChambre" displayName="tabTypeChambre" ref="E1:E13" totalsRowShown="0">
  <autoFilter ref="E1:E13" xr:uid="{6FDE44B9-DF4D-4A29-80D9-EE7C6A7F4E5F}"/>
  <tableColumns count="1">
    <tableColumn id="1" xr3:uid="{B479E589-2D6D-468E-8EE4-12BF3A0AA182}" name="type de propriété"/>
  </tableColumns>
  <tableStyleInfo name="TableStyleLight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ECB73AA-3570-4780-BB9D-5476EF626FB4}" name="TableauArrondissement" displayName="TableauArrondissement" ref="G1:G21" totalsRowShown="0">
  <autoFilter ref="G1:G21" xr:uid="{7ECB73AA-3570-4780-BB9D-5476EF626FB4}"/>
  <tableColumns count="1">
    <tableColumn id="1" xr3:uid="{C6E353E7-B057-4A89-B40D-E1F43016DA1C}" name="Arrondissement"/>
  </tableColumns>
  <tableStyleInfo name="TableStyleLight3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626EC-35E0-4568-9BFC-D2BEFDF0D59A}">
  <sheetPr codeName="Feuil4"/>
  <dimension ref="D5:D9"/>
  <sheetViews>
    <sheetView showGridLines="0" showRowColHeaders="0" tabSelected="1" zoomScaleNormal="100" workbookViewId="0">
      <selection activeCell="G5" sqref="G5"/>
    </sheetView>
  </sheetViews>
  <sheetFormatPr baseColWidth="10" defaultColWidth="11.453125" defaultRowHeight="14.5"/>
  <cols>
    <col min="1" max="2" width="11.453125" style="3"/>
    <col min="3" max="3" width="4.7265625" style="3" customWidth="1"/>
    <col min="4" max="4" width="61.81640625" style="3" customWidth="1"/>
    <col min="5" max="5" width="4.7265625" style="3" customWidth="1"/>
    <col min="6" max="16384" width="11.453125" style="3"/>
  </cols>
  <sheetData>
    <row r="5" spans="4:4" ht="52.5">
      <c r="D5" s="2" t="s">
        <v>60</v>
      </c>
    </row>
    <row r="7" spans="4:4" ht="17.5">
      <c r="D7" s="4" t="s">
        <v>61</v>
      </c>
    </row>
    <row r="9" spans="4:4" ht="35">
      <c r="D9" s="5" t="s">
        <v>62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UserForm">
                <anchor moveWithCells="1" sizeWithCells="1">
                  <from>
                    <xdr:col>4</xdr:col>
                    <xdr:colOff>114300</xdr:colOff>
                    <xdr:row>2</xdr:row>
                    <xdr:rowOff>0</xdr:rowOff>
                  </from>
                  <to>
                    <xdr:col>6</xdr:col>
                    <xdr:colOff>184150</xdr:colOff>
                    <xdr:row>4</xdr:row>
                    <xdr:rowOff>508000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82E12-B413-4B96-BFA9-9A05AFF4F4B6}">
  <sheetPr codeName="Feuil5"/>
  <dimension ref="A1"/>
  <sheetViews>
    <sheetView workbookViewId="0">
      <selection activeCell="D26" sqref="D26"/>
    </sheetView>
  </sheetViews>
  <sheetFormatPr baseColWidth="10" defaultRowHeight="14.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73410-3CE9-4900-AAA7-B4FB79F0C79B}">
  <sheetPr codeName="Feuil2"/>
  <dimension ref="A1:BX3"/>
  <sheetViews>
    <sheetView topLeftCell="AE1" workbookViewId="0">
      <selection activeCell="AL1" sqref="AL1"/>
    </sheetView>
  </sheetViews>
  <sheetFormatPr baseColWidth="10" defaultRowHeight="14.5"/>
  <cols>
    <col min="1" max="11" width="15.26953125" customWidth="1"/>
    <col min="76" max="76" width="11.7265625" customWidth="1"/>
  </cols>
  <sheetData>
    <row r="1" spans="1:76">
      <c r="A1" t="s">
        <v>145</v>
      </c>
      <c r="B1" t="s">
        <v>79</v>
      </c>
      <c r="C1" t="s">
        <v>80</v>
      </c>
      <c r="D1" t="s">
        <v>81</v>
      </c>
      <c r="E1" t="s">
        <v>83</v>
      </c>
      <c r="F1" t="s">
        <v>82</v>
      </c>
      <c r="G1" t="s">
        <v>84</v>
      </c>
      <c r="H1" t="s">
        <v>85</v>
      </c>
      <c r="I1" t="s">
        <v>86</v>
      </c>
      <c r="J1" t="s">
        <v>87</v>
      </c>
      <c r="K1" t="s">
        <v>88</v>
      </c>
      <c r="L1" t="s">
        <v>89</v>
      </c>
      <c r="M1" t="s">
        <v>90</v>
      </c>
      <c r="N1" t="s">
        <v>91</v>
      </c>
      <c r="O1" t="s">
        <v>92</v>
      </c>
      <c r="P1" t="s">
        <v>93</v>
      </c>
      <c r="Q1" t="s">
        <v>94</v>
      </c>
      <c r="R1" t="s">
        <v>95</v>
      </c>
      <c r="S1" t="s">
        <v>96</v>
      </c>
      <c r="T1" t="s">
        <v>146</v>
      </c>
      <c r="U1" t="s">
        <v>97</v>
      </c>
      <c r="V1" t="s">
        <v>98</v>
      </c>
      <c r="W1" t="s">
        <v>99</v>
      </c>
      <c r="X1" t="s">
        <v>100</v>
      </c>
      <c r="Y1" t="s">
        <v>101</v>
      </c>
      <c r="Z1" s="1" t="s">
        <v>102</v>
      </c>
      <c r="AA1" s="1" t="s">
        <v>103</v>
      </c>
      <c r="AB1" s="1" t="s">
        <v>104</v>
      </c>
      <c r="AC1" t="s">
        <v>105</v>
      </c>
      <c r="AD1" t="s">
        <v>147</v>
      </c>
      <c r="AE1" t="s">
        <v>148</v>
      </c>
      <c r="AF1" t="s">
        <v>106</v>
      </c>
      <c r="AG1" t="s">
        <v>149</v>
      </c>
      <c r="AH1" t="s">
        <v>107</v>
      </c>
      <c r="AI1" t="s">
        <v>108</v>
      </c>
      <c r="AJ1" t="s">
        <v>109</v>
      </c>
      <c r="AK1" t="s">
        <v>110</v>
      </c>
      <c r="AL1" t="s">
        <v>111</v>
      </c>
      <c r="AM1" t="s">
        <v>112</v>
      </c>
      <c r="AN1" t="s">
        <v>113</v>
      </c>
      <c r="AO1" t="s">
        <v>114</v>
      </c>
      <c r="AP1" t="s">
        <v>151</v>
      </c>
      <c r="AQ1" t="s">
        <v>152</v>
      </c>
      <c r="AR1" t="s">
        <v>150</v>
      </c>
      <c r="AS1" t="s">
        <v>115</v>
      </c>
      <c r="AT1" t="s">
        <v>116</v>
      </c>
      <c r="AU1" t="s">
        <v>153</v>
      </c>
      <c r="AV1" t="s">
        <v>117</v>
      </c>
      <c r="AW1" t="s">
        <v>118</v>
      </c>
      <c r="AX1" t="s">
        <v>119</v>
      </c>
      <c r="AY1" t="s">
        <v>120</v>
      </c>
      <c r="AZ1" t="s">
        <v>121</v>
      </c>
      <c r="BA1" t="s">
        <v>122</v>
      </c>
      <c r="BB1" t="s">
        <v>123</v>
      </c>
      <c r="BC1" t="s">
        <v>124</v>
      </c>
      <c r="BD1" t="s">
        <v>125</v>
      </c>
      <c r="BE1" t="s">
        <v>126</v>
      </c>
      <c r="BF1" t="s">
        <v>127</v>
      </c>
      <c r="BG1" t="s">
        <v>128</v>
      </c>
      <c r="BH1" t="s">
        <v>129</v>
      </c>
      <c r="BI1" t="s">
        <v>130</v>
      </c>
      <c r="BJ1" t="s">
        <v>132</v>
      </c>
      <c r="BK1" t="s">
        <v>131</v>
      </c>
      <c r="BL1" t="s">
        <v>133</v>
      </c>
      <c r="BM1" t="s">
        <v>134</v>
      </c>
      <c r="BN1" t="s">
        <v>135</v>
      </c>
      <c r="BO1" t="s">
        <v>154</v>
      </c>
      <c r="BP1" t="s">
        <v>136</v>
      </c>
      <c r="BQ1" t="s">
        <v>137</v>
      </c>
      <c r="BR1" t="s">
        <v>138</v>
      </c>
      <c r="BS1" t="s">
        <v>139</v>
      </c>
      <c r="BT1" t="s">
        <v>140</v>
      </c>
      <c r="BU1" t="s">
        <v>141</v>
      </c>
      <c r="BV1" t="s">
        <v>142</v>
      </c>
      <c r="BW1" t="s">
        <v>143</v>
      </c>
      <c r="BX1" t="s">
        <v>144</v>
      </c>
    </row>
    <row r="2" spans="1:76">
      <c r="A2" s="1" t="s">
        <v>155</v>
      </c>
      <c r="B2" s="1" t="s">
        <v>155</v>
      </c>
      <c r="C2" s="1" t="s">
        <v>155</v>
      </c>
      <c r="D2" s="1"/>
      <c r="E2" s="1" t="b">
        <v>0</v>
      </c>
      <c r="F2" s="1" t="b">
        <v>0</v>
      </c>
      <c r="G2" s="1"/>
      <c r="H2" s="1" t="b">
        <v>0</v>
      </c>
      <c r="I2" s="1"/>
      <c r="J2" s="1" t="b">
        <v>0</v>
      </c>
      <c r="K2" s="1" t="b">
        <v>0</v>
      </c>
      <c r="L2" s="1" t="b">
        <v>0</v>
      </c>
      <c r="M2" s="1" t="b">
        <v>0</v>
      </c>
      <c r="N2" s="1"/>
      <c r="O2" s="1"/>
      <c r="P2" s="1"/>
      <c r="Q2" s="1" t="b">
        <v>0</v>
      </c>
      <c r="R2" s="1"/>
      <c r="S2" s="1" t="b">
        <v>0</v>
      </c>
      <c r="T2" s="1" t="b">
        <v>0</v>
      </c>
      <c r="U2" s="1" t="b">
        <v>0</v>
      </c>
      <c r="V2" s="1" t="b">
        <v>0</v>
      </c>
      <c r="W2" s="1"/>
      <c r="X2" s="1"/>
      <c r="Y2" s="1"/>
      <c r="Z2" s="1" t="b">
        <v>0</v>
      </c>
      <c r="AA2" s="1" t="b">
        <v>0</v>
      </c>
      <c r="AB2" s="1"/>
      <c r="AC2" s="1"/>
      <c r="AD2" s="1">
        <f>Tableau4[[#This Row],[Shower gel]]</f>
        <v>0</v>
      </c>
      <c r="AE2" s="1">
        <f>Tableau4[[#This Row],[Dryer]]</f>
        <v>0</v>
      </c>
      <c r="AF2" s="1"/>
      <c r="AG2" s="1">
        <f>Tableau4[[#This Row],[Dryer]]</f>
        <v>0</v>
      </c>
      <c r="AH2" s="1"/>
      <c r="AI2" s="1"/>
      <c r="AJ2" s="1"/>
      <c r="AK2" s="1"/>
      <c r="AL2" s="1"/>
      <c r="AM2" s="1"/>
      <c r="AN2" s="1"/>
      <c r="AO2" s="1">
        <f>Tableau4[[#This Row],[accommodates]]^2</f>
        <v>9</v>
      </c>
      <c r="AP2" s="1"/>
      <c r="AQ2" s="1">
        <f>Tableau4[[#This Row],[bathrooms]]^2</f>
        <v>9</v>
      </c>
      <c r="AR2" s="1">
        <f>Tableau4[[#This Row],[beds]]^2</f>
        <v>9</v>
      </c>
      <c r="AS2">
        <f>IF(AS3=TRUE,1,0)</f>
        <v>0</v>
      </c>
      <c r="AT2">
        <f t="shared" ref="AT2:BL2" si="0">IF(AT3=TRUE,1,0)</f>
        <v>0</v>
      </c>
      <c r="AU2">
        <f t="shared" si="0"/>
        <v>0</v>
      </c>
      <c r="AV2">
        <f t="shared" si="0"/>
        <v>0</v>
      </c>
      <c r="AW2">
        <f t="shared" si="0"/>
        <v>0</v>
      </c>
      <c r="AX2">
        <f t="shared" si="0"/>
        <v>0</v>
      </c>
      <c r="AY2">
        <f t="shared" si="0"/>
        <v>0</v>
      </c>
      <c r="AZ2">
        <f t="shared" si="0"/>
        <v>0</v>
      </c>
      <c r="BA2">
        <f t="shared" si="0"/>
        <v>0</v>
      </c>
      <c r="BB2">
        <f t="shared" si="0"/>
        <v>0</v>
      </c>
      <c r="BC2">
        <f t="shared" si="0"/>
        <v>0</v>
      </c>
      <c r="BD2">
        <f t="shared" si="0"/>
        <v>0</v>
      </c>
      <c r="BE2">
        <f t="shared" si="0"/>
        <v>0</v>
      </c>
      <c r="BF2">
        <f t="shared" si="0"/>
        <v>0</v>
      </c>
      <c r="BG2">
        <f t="shared" si="0"/>
        <v>0</v>
      </c>
      <c r="BH2">
        <f t="shared" si="0"/>
        <v>0</v>
      </c>
      <c r="BI2">
        <f t="shared" si="0"/>
        <v>1</v>
      </c>
      <c r="BJ2">
        <f t="shared" si="0"/>
        <v>0</v>
      </c>
      <c r="BK2">
        <f t="shared" si="0"/>
        <v>0</v>
      </c>
      <c r="BL2">
        <f t="shared" si="0"/>
        <v>0</v>
      </c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</row>
    <row r="3" spans="1:76">
      <c r="AS3" t="b">
        <v>0</v>
      </c>
      <c r="AT3" t="b">
        <v>0</v>
      </c>
      <c r="AU3" t="b">
        <v>0</v>
      </c>
      <c r="AV3" t="b">
        <v>0</v>
      </c>
      <c r="AW3" t="b">
        <v>0</v>
      </c>
      <c r="AX3" t="b">
        <v>0</v>
      </c>
      <c r="AY3" t="b">
        <v>0</v>
      </c>
      <c r="AZ3" t="b">
        <v>0</v>
      </c>
      <c r="BA3" t="b">
        <v>0</v>
      </c>
      <c r="BB3" t="b">
        <v>0</v>
      </c>
      <c r="BC3" t="b">
        <v>0</v>
      </c>
      <c r="BD3" t="b">
        <v>0</v>
      </c>
      <c r="BE3" t="b">
        <v>0</v>
      </c>
      <c r="BF3" t="b">
        <v>0</v>
      </c>
      <c r="BG3" t="b">
        <v>0</v>
      </c>
      <c r="BH3" t="b">
        <v>0</v>
      </c>
      <c r="BI3" t="b">
        <v>1</v>
      </c>
      <c r="BJ3" t="b">
        <v>0</v>
      </c>
      <c r="BK3" t="b">
        <v>0</v>
      </c>
      <c r="BL3" t="b"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BE670-5AA1-4368-BE81-641DF61ED613}">
  <sheetPr codeName="Feuil3"/>
  <dimension ref="A1:K26"/>
  <sheetViews>
    <sheetView zoomScale="68" zoomScaleNormal="145" workbookViewId="0">
      <selection activeCell="M15" sqref="M15"/>
    </sheetView>
  </sheetViews>
  <sheetFormatPr baseColWidth="10" defaultRowHeight="14.5"/>
  <cols>
    <col min="1" max="1" width="22.453125" customWidth="1"/>
    <col min="2" max="2" width="19.26953125" customWidth="1"/>
    <col min="3" max="3" width="20.453125" customWidth="1"/>
    <col min="4" max="4" width="22.453125" customWidth="1"/>
    <col min="5" max="5" width="41" customWidth="1"/>
    <col min="7" max="7" width="21.54296875" customWidth="1"/>
    <col min="9" max="9" width="1.54296875" customWidth="1"/>
    <col min="10" max="10" width="10.81640625" hidden="1" customWidth="1"/>
    <col min="11" max="11" width="54.1796875" customWidth="1"/>
  </cols>
  <sheetData>
    <row r="1" spans="1:11">
      <c r="A1" t="s">
        <v>7</v>
      </c>
      <c r="B1" t="s">
        <v>6</v>
      </c>
      <c r="C1" t="s">
        <v>14</v>
      </c>
      <c r="D1" t="s">
        <v>8</v>
      </c>
      <c r="E1" t="s">
        <v>63</v>
      </c>
      <c r="G1" t="s">
        <v>39</v>
      </c>
    </row>
    <row r="2" spans="1:11">
      <c r="A2">
        <v>0</v>
      </c>
      <c r="B2" t="s">
        <v>3</v>
      </c>
      <c r="C2" t="s">
        <v>26</v>
      </c>
      <c r="D2" t="s">
        <v>9</v>
      </c>
      <c r="E2" t="s">
        <v>64</v>
      </c>
      <c r="G2" t="s">
        <v>41</v>
      </c>
    </row>
    <row r="3" spans="1:11">
      <c r="A3">
        <v>1</v>
      </c>
      <c r="B3" t="s">
        <v>4</v>
      </c>
      <c r="C3" t="s">
        <v>2</v>
      </c>
      <c r="D3" t="s">
        <v>10</v>
      </c>
      <c r="E3" t="s">
        <v>65</v>
      </c>
      <c r="G3" t="s">
        <v>40</v>
      </c>
    </row>
    <row r="4" spans="1:11">
      <c r="A4">
        <v>2</v>
      </c>
      <c r="B4" t="s">
        <v>0</v>
      </c>
      <c r="C4" t="s">
        <v>27</v>
      </c>
      <c r="D4" t="s">
        <v>11</v>
      </c>
      <c r="E4" t="s">
        <v>66</v>
      </c>
      <c r="G4" t="s">
        <v>42</v>
      </c>
    </row>
    <row r="5" spans="1:11">
      <c r="A5">
        <v>3</v>
      </c>
      <c r="B5" t="s">
        <v>5</v>
      </c>
      <c r="C5" t="s">
        <v>28</v>
      </c>
      <c r="D5" t="s">
        <v>12</v>
      </c>
      <c r="E5" t="s">
        <v>67</v>
      </c>
      <c r="G5" t="s">
        <v>43</v>
      </c>
    </row>
    <row r="6" spans="1:11">
      <c r="A6">
        <v>4</v>
      </c>
      <c r="B6" t="s">
        <v>38</v>
      </c>
      <c r="C6" t="s">
        <v>29</v>
      </c>
      <c r="D6" t="s">
        <v>13</v>
      </c>
      <c r="E6" t="s">
        <v>68</v>
      </c>
      <c r="G6" t="s">
        <v>44</v>
      </c>
      <c r="K6" s="6"/>
    </row>
    <row r="7" spans="1:11">
      <c r="A7">
        <v>5</v>
      </c>
      <c r="C7" t="s">
        <v>15</v>
      </c>
      <c r="E7" t="s">
        <v>69</v>
      </c>
      <c r="G7" t="s">
        <v>45</v>
      </c>
    </row>
    <row r="8" spans="1:11">
      <c r="A8">
        <v>6</v>
      </c>
      <c r="C8" t="s">
        <v>30</v>
      </c>
      <c r="E8" t="s">
        <v>70</v>
      </c>
      <c r="G8" t="s">
        <v>46</v>
      </c>
    </row>
    <row r="9" spans="1:11">
      <c r="A9">
        <v>7</v>
      </c>
      <c r="C9" t="s">
        <v>31</v>
      </c>
      <c r="E9" t="s">
        <v>71</v>
      </c>
      <c r="G9" t="s">
        <v>47</v>
      </c>
    </row>
    <row r="10" spans="1:11">
      <c r="A10">
        <v>8</v>
      </c>
      <c r="C10" t="s">
        <v>19</v>
      </c>
      <c r="E10" t="s">
        <v>75</v>
      </c>
      <c r="G10" t="s">
        <v>48</v>
      </c>
    </row>
    <row r="11" spans="1:11">
      <c r="A11">
        <v>9</v>
      </c>
      <c r="C11" t="s">
        <v>20</v>
      </c>
      <c r="E11" t="s">
        <v>72</v>
      </c>
      <c r="G11" t="s">
        <v>49</v>
      </c>
    </row>
    <row r="12" spans="1:11">
      <c r="A12">
        <v>10</v>
      </c>
      <c r="C12" t="s">
        <v>32</v>
      </c>
      <c r="E12" t="s">
        <v>73</v>
      </c>
      <c r="G12" t="s">
        <v>50</v>
      </c>
    </row>
    <row r="13" spans="1:11">
      <c r="C13" t="s">
        <v>17</v>
      </c>
      <c r="E13" t="s">
        <v>74</v>
      </c>
      <c r="G13" t="s">
        <v>51</v>
      </c>
    </row>
    <row r="14" spans="1:11">
      <c r="C14" t="s">
        <v>33</v>
      </c>
      <c r="G14" t="s">
        <v>52</v>
      </c>
    </row>
    <row r="15" spans="1:11">
      <c r="C15" t="s">
        <v>23</v>
      </c>
      <c r="G15" t="s">
        <v>53</v>
      </c>
    </row>
    <row r="16" spans="1:11">
      <c r="C16" t="s">
        <v>34</v>
      </c>
      <c r="G16" t="s">
        <v>54</v>
      </c>
    </row>
    <row r="17" spans="3:7">
      <c r="C17" t="s">
        <v>24</v>
      </c>
      <c r="G17" t="s">
        <v>55</v>
      </c>
    </row>
    <row r="18" spans="3:7">
      <c r="C18" t="s">
        <v>16</v>
      </c>
      <c r="G18" t="s">
        <v>56</v>
      </c>
    </row>
    <row r="19" spans="3:7">
      <c r="C19" t="s">
        <v>1</v>
      </c>
      <c r="G19" t="s">
        <v>57</v>
      </c>
    </row>
    <row r="20" spans="3:7">
      <c r="C20" t="s">
        <v>35</v>
      </c>
      <c r="G20" t="s">
        <v>58</v>
      </c>
    </row>
    <row r="21" spans="3:7">
      <c r="C21" t="s">
        <v>36</v>
      </c>
      <c r="G21" t="s">
        <v>59</v>
      </c>
    </row>
    <row r="22" spans="3:7">
      <c r="C22" t="s">
        <v>25</v>
      </c>
    </row>
    <row r="23" spans="3:7">
      <c r="C23" t="s">
        <v>21</v>
      </c>
    </row>
    <row r="24" spans="3:7">
      <c r="C24" t="s">
        <v>22</v>
      </c>
    </row>
    <row r="25" spans="3:7">
      <c r="C25" t="s">
        <v>18</v>
      </c>
    </row>
    <row r="26" spans="3:7">
      <c r="C26" t="s">
        <v>37</v>
      </c>
    </row>
  </sheetData>
  <phoneticPr fontId="1" type="noConversion"/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349C6-B222-43B8-9701-2774BD7989A7}">
  <sheetPr codeName="Feuil1"/>
  <dimension ref="B1:M45"/>
  <sheetViews>
    <sheetView showGridLines="0" zoomScale="91" zoomScaleNormal="100" workbookViewId="0">
      <selection activeCell="G10" sqref="G10"/>
    </sheetView>
  </sheetViews>
  <sheetFormatPr baseColWidth="10" defaultColWidth="11.453125" defaultRowHeight="14.5"/>
  <cols>
    <col min="1" max="15" width="11.453125" style="3" customWidth="1"/>
    <col min="16" max="16384" width="11.453125" style="3"/>
  </cols>
  <sheetData>
    <row r="1" spans="2:13" ht="16" customHeight="1"/>
    <row r="2" spans="2:13" ht="39" customHeight="1">
      <c r="B2" s="16"/>
      <c r="H2" s="7"/>
    </row>
    <row r="3" spans="2:13" ht="16" customHeight="1">
      <c r="B3" s="8"/>
      <c r="C3" s="9"/>
    </row>
    <row r="4" spans="2:13" ht="16" customHeight="1"/>
    <row r="5" spans="2:13" ht="16" customHeight="1"/>
    <row r="6" spans="2:13" ht="16" customHeight="1">
      <c r="F6" s="10"/>
    </row>
    <row r="7" spans="2:13" ht="16" customHeight="1"/>
    <row r="8" spans="2:13" ht="16" customHeight="1"/>
    <row r="9" spans="2:13" ht="16" customHeight="1">
      <c r="F9" s="11"/>
    </row>
    <row r="10" spans="2:13" ht="16" customHeight="1"/>
    <row r="11" spans="2:13" ht="16" customHeight="1"/>
    <row r="12" spans="2:13" ht="16" customHeight="1"/>
    <row r="13" spans="2:13" ht="16" customHeight="1"/>
    <row r="14" spans="2:13" ht="16" customHeight="1"/>
    <row r="15" spans="2:13" ht="16" customHeight="1"/>
    <row r="16" spans="2:13" ht="16" customHeight="1">
      <c r="H16" s="12"/>
      <c r="I16" s="13"/>
      <c r="J16" s="12"/>
      <c r="K16" s="12"/>
      <c r="L16" s="14"/>
      <c r="M16" s="14"/>
    </row>
    <row r="17" spans="8:11" ht="16" customHeight="1">
      <c r="H17" s="12"/>
      <c r="I17" s="12"/>
      <c r="J17" s="12"/>
      <c r="K17" s="15"/>
    </row>
    <row r="18" spans="8:11" ht="16" customHeight="1"/>
    <row r="19" spans="8:11" ht="16" customHeight="1"/>
    <row r="20" spans="8:11" ht="16" customHeight="1"/>
    <row r="21" spans="8:11" ht="16" customHeight="1"/>
    <row r="22" spans="8:11" ht="16" customHeight="1"/>
    <row r="23" spans="8:11" ht="14.5" customHeight="1"/>
    <row r="24" spans="8:11" ht="14.5" customHeight="1"/>
    <row r="25" spans="8:11" ht="14.5" customHeight="1"/>
    <row r="26" spans="8:11" ht="14.5" customHeight="1"/>
    <row r="27" spans="8:11" ht="14.5" customHeight="1"/>
    <row r="28" spans="8:11" ht="14.5" customHeight="1"/>
    <row r="29" spans="8:11" ht="14.5" customHeight="1"/>
    <row r="30" spans="8:11" ht="14.5" customHeight="1"/>
    <row r="31" spans="8:11" ht="14.5" customHeight="1"/>
    <row r="32" spans="8:11" ht="14.5" customHeight="1"/>
    <row r="33" s="3" customFormat="1" ht="14.5" customHeight="1"/>
    <row r="34" s="3" customFormat="1" ht="14.5" customHeight="1"/>
    <row r="35" s="3" customFormat="1" ht="14.5" customHeight="1"/>
    <row r="36" s="3" customFormat="1" ht="14.5" customHeight="1"/>
    <row r="37" s="3" customFormat="1" ht="14.5" customHeight="1"/>
    <row r="38" s="3" customFormat="1" ht="14.5" customHeight="1"/>
    <row r="39" s="3" customFormat="1" ht="14.5" customHeight="1"/>
    <row r="40" s="3" customFormat="1" ht="14.5" customHeight="1"/>
    <row r="41" s="3" customFormat="1" ht="14.5" customHeight="1"/>
    <row r="42" s="3" customFormat="1" ht="14.5" customHeight="1"/>
    <row r="43" s="3" customFormat="1" ht="14.5" customHeight="1"/>
    <row r="44" s="3" customFormat="1" ht="14.5" customHeight="1"/>
    <row r="45" s="3" customFormat="1" ht="14.5" customHeight="1"/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2E7FB-620C-41C2-A662-5E2F0172747E}">
  <sheetPr codeName="Feuil6"/>
  <dimension ref="A1:D3"/>
  <sheetViews>
    <sheetView workbookViewId="0">
      <selection activeCell="B4" sqref="B4"/>
    </sheetView>
  </sheetViews>
  <sheetFormatPr baseColWidth="10" defaultRowHeight="14.5"/>
  <sheetData>
    <row r="1" spans="1:4">
      <c r="A1" t="s">
        <v>76</v>
      </c>
      <c r="B1">
        <v>101010</v>
      </c>
      <c r="D1" t="s">
        <v>77</v>
      </c>
    </row>
    <row r="2" spans="1:4">
      <c r="A2" t="s">
        <v>78</v>
      </c>
      <c r="B2">
        <v>100</v>
      </c>
      <c r="D2" t="str">
        <f>"Le prix que nous vous recommandons est " &amp;B1&amp;" $"</f>
        <v>Le prix que nous vous recommandons est 101010 $</v>
      </c>
    </row>
    <row r="3" spans="1:4">
      <c r="B3" s="1" t="str" cm="1">
        <f t="array" ref="B3">Tableau4[bathrooms]</f>
        <v>3</v>
      </c>
      <c r="D3" t="str">
        <f>"Le prix moyen dans le " &amp;B3&amp;" arrondissement est " &amp;B2&amp;  " $"</f>
        <v>Le prix moyen dans le 3 arrondissement est 100 $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Bienvenue</vt:lpstr>
      <vt:lpstr>empty</vt:lpstr>
      <vt:lpstr>Donnees</vt:lpstr>
      <vt:lpstr>tableauFormulaire </vt:lpstr>
      <vt:lpstr>Estimation</vt:lpstr>
      <vt:lpstr>Traitement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Garance Gabaut</dc:creator>
  <cp:lastModifiedBy>Garance Gabaut</cp:lastModifiedBy>
  <dcterms:created xsi:type="dcterms:W3CDTF">2023-10-25T20:25:34Z</dcterms:created>
  <dcterms:modified xsi:type="dcterms:W3CDTF">2023-12-05T19:21:33Z</dcterms:modified>
</cp:coreProperties>
</file>