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CC56D48A-9470-4A3D-BB35-54ABA9AAAC52}" xr6:coauthVersionLast="47" xr6:coauthVersionMax="47" xr10:uidLastSave="{00000000-0000-0000-0000-000000000000}"/>
  <bookViews>
    <workbookView xWindow="-110" yWindow="10690" windowWidth="19420" windowHeight="11020" activeTab="3" xr2:uid="{D0BD4728-227B-4C76-9119-CEA83803AF99}"/>
  </bookViews>
  <sheets>
    <sheet name="Bienvenue" sheetId="5" r:id="rId1"/>
    <sheet name="empty" sheetId="6" state="hidden" r:id="rId2"/>
    <sheet name="Donnees" sheetId="4" state="hidden" r:id="rId3"/>
    <sheet name="DataClean" sheetId="8" r:id="rId4"/>
    <sheet name="tableauFormulaire " sheetId="3" r:id="rId5"/>
    <sheet name="Estimation" sheetId="1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2" i="4" l="1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AT2" i="4"/>
  <c r="AT4" i="4"/>
  <c r="AU4" i="4"/>
  <c r="AV4" i="4"/>
  <c r="AW4" i="4"/>
  <c r="AX4" i="4"/>
  <c r="AY4" i="4"/>
  <c r="AZ4" i="4"/>
  <c r="BA4" i="4"/>
  <c r="BC4" i="4"/>
  <c r="BD4" i="4"/>
  <c r="BE4" i="4"/>
  <c r="BF4" i="4"/>
  <c r="BG4" i="4"/>
  <c r="BH4" i="4"/>
  <c r="BI4" i="4"/>
  <c r="BJ4" i="4"/>
  <c r="BK4" i="4"/>
  <c r="BL4" i="4"/>
  <c r="BM4" i="4"/>
  <c r="BB4" i="4"/>
  <c r="D3" i="7"/>
  <c r="C1" i="7"/>
  <c r="D2" i="7"/>
  <c r="D4" i="7" l="1"/>
  <c r="AE4" i="4"/>
  <c r="AF4" i="4"/>
  <c r="AH4" i="4"/>
  <c r="AO4" i="4"/>
  <c r="AP4" i="4"/>
  <c r="AR4" i="4"/>
  <c r="AS4" i="4"/>
  <c r="Y2" i="8"/>
  <c r="Z2" i="8"/>
  <c r="AA2" i="8"/>
  <c r="AB2" i="8"/>
  <c r="AC2" i="8"/>
  <c r="AD2" i="8"/>
  <c r="AG2" i="8"/>
  <c r="AI2" i="8"/>
  <c r="AJ2" i="8"/>
  <c r="AK2" i="8"/>
  <c r="AL2" i="8"/>
  <c r="AM2" i="8"/>
  <c r="AN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F2" i="8"/>
  <c r="E2" i="8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2" i="8"/>
  <c r="AS2" i="4"/>
  <c r="AS2" i="8" s="1"/>
  <c r="AS3" i="4"/>
  <c r="AR2" i="4"/>
  <c r="AR2" i="8" s="1"/>
  <c r="AR3" i="4"/>
  <c r="AP2" i="4"/>
  <c r="AP2" i="8" s="1"/>
  <c r="AP3" i="4"/>
  <c r="AO2" i="4"/>
  <c r="AO2" i="8" s="1"/>
  <c r="AO3" i="4"/>
  <c r="AH2" i="4"/>
  <c r="AH2" i="8" s="1"/>
  <c r="AH3" i="4"/>
  <c r="AF2" i="4"/>
  <c r="AF2" i="8" s="1"/>
  <c r="AF3" i="4"/>
  <c r="AE2" i="4"/>
  <c r="AE2" i="8" s="1"/>
  <c r="AE3" i="4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AT2" i="8"/>
</calcChain>
</file>

<file path=xl/sharedStrings.xml><?xml version="1.0" encoding="utf-8"?>
<sst xmlns="http://schemas.openxmlformats.org/spreadsheetml/2006/main" count="303" uniqueCount="201">
  <si>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</si>
  <si>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</si>
  <si>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</si>
  <si>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</si>
  <si>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</si>
  <si>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</si>
  <si>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</si>
  <si>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</si>
  <si>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</si>
  <si>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</si>
  <si>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</si>
  <si>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</si>
  <si>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</si>
  <si>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</si>
  <si>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</si>
  <si>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</si>
  <si>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</si>
  <si>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</si>
  <si>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</si>
  <si>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</si>
  <si>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</si>
  <si>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</si>
  <si>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</si>
  <si>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</si>
  <si>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</si>
  <si>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</si>
  <si>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</si>
  <si>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</si>
  <si>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</si>
  <si>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</si>
  <si>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</si>
  <si>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</si>
  <si>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</si>
  <si>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</si>
  <si>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</si>
  <si>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</si>
  <si>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</si>
  <si>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</si>
  <si>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</si>
  <si>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</si>
  <si>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</si>
  <si>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</si>
  <si>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</si>
  <si>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</si>
  <si>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</si>
  <si>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</si>
  <si>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</si>
  <si>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</si>
  <si>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</si>
  <si>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</si>
  <si>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</si>
  <si>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</si>
  <si>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</si>
  <si>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</si>
  <si>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</si>
  <si>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</si>
  <si>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</si>
  <si>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</si>
  <si>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</si>
  <si>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</si>
  <si>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</si>
  <si>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</si>
  <si>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</si>
  <si>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</si>
  <si>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</si>
  <si>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</si>
  <si>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</si>
  <si>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</si>
  <si>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</si>
  <si>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</si>
  <si>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</si>
  <si>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</si>
  <si>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</si>
  <si>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</si>
  <si>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</si>
  <si>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</si>
  <si>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</si>
  <si>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</si>
  <si>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</si>
  <si>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</si>
  <si>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</si>
  <si>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</si>
  <si>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</si>
  <si>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</si>
  <si>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</si>
  <si>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</si>
  <si>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</si>
  <si>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</si>
  <si>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</si>
  <si>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</si>
  <si>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</si>
  <si>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</si>
  <si>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</si>
  <si>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</si>
  <si>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</si>
  <si>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</si>
  <si>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</si>
  <si>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</si>
  <si>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</si>
  <si>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</si>
  <si>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</si>
  <si>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</si>
  <si>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</si>
  <si>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</si>
  <si>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</si>
  <si>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</si>
  <si>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</si>
  <si>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</si>
  <si>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</si>
  <si>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</si>
  <si>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</si>
  <si>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</si>
  <si>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</si>
  <si>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</si>
  <si>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</si>
  <si>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</si>
  <si>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</si>
  <si>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</si>
  <si>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</si>
  <si>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</si>
  <si>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</si>
  <si>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</si>
  <si>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</si>
  <si>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</si>
  <si>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</si>
  <si>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</si>
  <si>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</si>
  <si>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</si>
  <si>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</si>
  <si>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</si>
  <si>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</si>
  <si>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</si>
  <si>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</si>
  <si>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</si>
  <si>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</si>
  <si>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</si>
  <si>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</si>
  <si>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</si>
  <si>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</si>
  <si>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</si>
  <si>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</si>
  <si>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</si>
  <si>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</si>
  <si>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</si>
  <si>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</si>
  <si>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</si>
  <si>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</si>
  <si>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</si>
  <si>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</si>
  <si>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</si>
  <si>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</si>
  <si>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</si>
  <si>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</si>
  <si>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</si>
  <si>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</si>
  <si>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</si>
  <si>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</si>
  <si>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</si>
  <si>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</si>
  <si>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</si>
  <si>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</si>
  <si>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</si>
  <si>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</si>
  <si>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</si>
  <si>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</si>
  <si>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</si>
  <si>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</si>
  <si>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</si>
  <si>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</si>
  <si>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</si>
  <si>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</si>
  <si>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</si>
  <si>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</si>
  <si>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</si>
  <si>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</si>
  <si>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</si>
  <si>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</si>
  <si>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</si>
  <si>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</si>
  <si>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</si>
  <si>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</si>
  <si>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3</t>
  </si>
  <si>
    <t>4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</si>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</sst>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</cellXfs>
  <cellStyles count="1">
    <cellStyle name="Normal" xfId="0" builtinId="0"/>
  </cellStyles>
  <dxfs count="78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750561</xdr:colOff>
      <xdr:row>21</xdr:row>
      <xdr:rowOff>76759</xdr:rowOff>
    </xdr:from>
    <xdr:to>
      <xdr:col>11</xdr:col>
      <xdr:colOff>676868</xdr:colOff>
      <xdr:row>23</xdr:row>
      <xdr:rowOff>146605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074792" y="4354286"/>
          <a:ext cx="2968724" cy="453638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10</xdr:col>
      <xdr:colOff>526527</xdr:colOff>
      <xdr:row>2</xdr:row>
      <xdr:rowOff>57455</xdr:rowOff>
    </xdr:from>
    <xdr:to>
      <xdr:col>15</xdr:col>
      <xdr:colOff>145910</xdr:colOff>
      <xdr:row>15</xdr:row>
      <xdr:rowOff>77816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2571" y="755257"/>
          <a:ext cx="3419230" cy="2651076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32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314011</xdr:colOff>
      <xdr:row>3</xdr:row>
      <xdr:rowOff>153517</xdr:rowOff>
    </xdr:from>
    <xdr:to>
      <xdr:col>6</xdr:col>
      <xdr:colOff>102681</xdr:colOff>
      <xdr:row>14</xdr:row>
      <xdr:rowOff>19853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14011" y="788517"/>
          <a:ext cx="4352296" cy="2092325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14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14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42811</xdr:colOff>
      <xdr:row>7</xdr:row>
      <xdr:rowOff>120786</xdr:rowOff>
    </xdr:from>
    <xdr:to>
      <xdr:col>4</xdr:col>
      <xdr:colOff>289831</xdr:colOff>
      <xdr:row>9</xdr:row>
      <xdr:rowOff>173053</xdr:rowOff>
    </xdr:to>
    <xdr:sp macro="" textlink="Traitement!C1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1564020" y="1565237"/>
          <a:ext cx="1768229" cy="456992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20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137,71$</a:t>
          </a:fld>
          <a:endParaRPr lang="fr-FR" sz="20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4</xdr:col>
      <xdr:colOff>455489</xdr:colOff>
      <xdr:row>9</xdr:row>
      <xdr:rowOff>53138</xdr:rowOff>
    </xdr:from>
    <xdr:to>
      <xdr:col>5</xdr:col>
      <xdr:colOff>637860</xdr:colOff>
      <xdr:row>14</xdr:row>
      <xdr:rowOff>47800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7907" y="1902314"/>
          <a:ext cx="942975" cy="1006475"/>
        </a:xfrm>
        <a:prstGeom prst="rect">
          <a:avLst/>
        </a:prstGeom>
      </xdr:spPr>
    </xdr:pic>
    <xdr:clientData/>
  </xdr:twoCellAnchor>
  <xdr:twoCellAnchor editAs="oneCell">
    <xdr:from>
      <xdr:col>3</xdr:col>
      <xdr:colOff>669994</xdr:colOff>
      <xdr:row>11</xdr:row>
      <xdr:rowOff>84016</xdr:rowOff>
    </xdr:from>
    <xdr:to>
      <xdr:col>4</xdr:col>
      <xdr:colOff>480889</xdr:colOff>
      <xdr:row>14</xdr:row>
      <xdr:rowOff>38903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1807" y="2337917"/>
          <a:ext cx="571500" cy="561975"/>
        </a:xfrm>
        <a:prstGeom prst="rect">
          <a:avLst/>
        </a:prstGeom>
      </xdr:spPr>
    </xdr:pic>
    <xdr:clientData/>
  </xdr:twoCellAnchor>
  <xdr:twoCellAnchor>
    <xdr:from>
      <xdr:col>0</xdr:col>
      <xdr:colOff>362858</xdr:colOff>
      <xdr:row>15</xdr:row>
      <xdr:rowOff>195384</xdr:rowOff>
    </xdr:from>
    <xdr:to>
      <xdr:col>6</xdr:col>
      <xdr:colOff>125851</xdr:colOff>
      <xdr:row>22</xdr:row>
      <xdr:rowOff>175846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62858" y="3258736"/>
          <a:ext cx="4326619" cy="1397000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20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0</xdr:col>
      <xdr:colOff>373673</xdr:colOff>
      <xdr:row>18</xdr:row>
      <xdr:rowOff>87574</xdr:rowOff>
    </xdr:from>
    <xdr:to>
      <xdr:col>6</xdr:col>
      <xdr:colOff>131222</xdr:colOff>
      <xdr:row>20</xdr:row>
      <xdr:rowOff>139841</xdr:rowOff>
    </xdr:to>
    <xdr:sp macro="" textlink="Traitement!D3">
      <xdr:nvSpPr>
        <xdr:cNvPr id="18" name="Rectangle : coins arrondis 17">
          <a:extLst>
            <a:ext uri="{FF2B5EF4-FFF2-40B4-BE49-F238E27FC236}">
              <a16:creationId xmlns:a16="http://schemas.microsoft.com/office/drawing/2014/main" id="{0BFFC88C-E03B-462B-9A94-64F7FAB7BDCF}"/>
            </a:ext>
          </a:extLst>
        </xdr:cNvPr>
        <xdr:cNvSpPr/>
      </xdr:nvSpPr>
      <xdr:spPr>
        <a:xfrm>
          <a:off x="373673" y="3758014"/>
          <a:ext cx="4321175" cy="456992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28D51ED4-6D80-45B0-A535-66D46D6BD516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Vous proposez  équipements sur 36.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5</xdr:col>
      <xdr:colOff>131710</xdr:colOff>
      <xdr:row>19</xdr:row>
      <xdr:rowOff>201909</xdr:rowOff>
    </xdr:from>
    <xdr:to>
      <xdr:col>5</xdr:col>
      <xdr:colOff>703214</xdr:colOff>
      <xdr:row>23</xdr:row>
      <xdr:rowOff>16646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4732" y="4074711"/>
          <a:ext cx="571504" cy="603254"/>
        </a:xfrm>
        <a:prstGeom prst="rect">
          <a:avLst/>
        </a:prstGeom>
      </xdr:spPr>
    </xdr:pic>
    <xdr:clientData/>
  </xdr:twoCellAnchor>
  <xdr:twoCellAnchor editAs="oneCell">
    <xdr:from>
      <xdr:col>4</xdr:col>
      <xdr:colOff>320815</xdr:colOff>
      <xdr:row>20</xdr:row>
      <xdr:rowOff>16514</xdr:rowOff>
    </xdr:from>
    <xdr:to>
      <xdr:col>5</xdr:col>
      <xdr:colOff>99961</xdr:colOff>
      <xdr:row>23</xdr:row>
      <xdr:rowOff>1860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3233" y="4091679"/>
          <a:ext cx="539750" cy="571500"/>
        </a:xfrm>
        <a:prstGeom prst="rect">
          <a:avLst/>
        </a:prstGeom>
      </xdr:spPr>
    </xdr:pic>
    <xdr:clientData/>
  </xdr:twoCellAnchor>
  <xdr:twoCellAnchor>
    <xdr:from>
      <xdr:col>6</xdr:col>
      <xdr:colOff>188407</xdr:colOff>
      <xdr:row>3</xdr:row>
      <xdr:rowOff>58999</xdr:rowOff>
    </xdr:from>
    <xdr:to>
      <xdr:col>11</xdr:col>
      <xdr:colOff>715179</xdr:colOff>
      <xdr:row>10</xdr:row>
      <xdr:rowOff>33111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4752033" y="693999"/>
          <a:ext cx="4329794" cy="1390650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  <a:endParaRPr lang="fr-FR" sz="20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4" totalsRowShown="0" dataDxfId="77">
  <autoFilter ref="B1:BY4" xr:uid="{2DEB0365-E448-4934-A8E7-ECB335C5AF85}"/>
  <tableColumns count="76">
    <tableColumn id="1" xr3:uid="{684A906C-671F-41CF-B0DF-92B8C10FE190}" name="accommodates" dataDxfId="76"/>
    <tableColumn id="8" xr3:uid="{090347DD-0940-4B3C-A7A9-33A5968C3D35}" name="bathrooms" dataDxfId="75"/>
    <tableColumn id="2" xr3:uid="{809363AA-E47E-4735-AF91-F5380B70F83E}" name="beds" dataDxfId="74"/>
    <tableColumn id="9" xr3:uid="{E7110CB5-2366-4B39-AA2A-8E23B78D0E99}" name="Dishwasher" dataDxfId="73"/>
    <tableColumn id="3" xr3:uid="{9FA9C220-E8D2-40A4-8053-C0F1E1A5FEED}" name="Coffee" dataDxfId="72"/>
    <tableColumn id="4" xr3:uid="{F614A784-A533-4D58-8A8A-8204919CA520}" name="Coffee maker" dataDxfId="71"/>
    <tableColumn id="5" xr3:uid="{BB5750F6-322A-4D8C-BE09-9D238ADCB176}" name="Bed linens" dataDxfId="70"/>
    <tableColumn id="6" xr3:uid="{4C0A715A-359F-417B-BA75-ED062CC80892}" name="Hot water kettle" dataDxfId="69"/>
    <tableColumn id="7" xr3:uid="{1400E511-BE93-489F-88DB-86696D869C18}" name="Crib" dataDxfId="68"/>
    <tableColumn id="10" xr3:uid="{53287ED5-0D25-4250-9BE9-EF982484F8AC}" name="Wine glasses" dataDxfId="67"/>
    <tableColumn id="11" xr3:uid="{712633DF-A6A4-4836-AF73-F9BAFE351492}" name="Toaster" dataDxfId="66"/>
    <tableColumn id="12" xr3:uid="{5F1FEA49-3F3D-48C6-8AE4-075714BC2C2B}" name="Freezer" dataDxfId="65"/>
    <tableColumn id="13" xr3:uid="{2E7DA36F-1E51-4E08-9792-9915E94F0A2E}" name="Refrigerator" dataDxfId="64"/>
    <tableColumn id="14" xr3:uid="{FFFBEDAD-1417-4D52-BAF1-3987477415AC}" name="Air conditioning" dataDxfId="63"/>
    <tableColumn id="15" xr3:uid="{DEBCB502-4A69-4710-B706-9E2E9ED149C4}" name="TV" dataDxfId="62"/>
    <tableColumn id="16" xr3:uid="{CBAF676E-82E9-4DED-9B8A-7A395B1FA8B7}" name="Dining table" dataDxfId="61"/>
    <tableColumn id="17" xr3:uid="{96809AC5-6A65-4177-B8B8-84CB6119D535}" name="Oven" dataDxfId="60"/>
    <tableColumn id="18" xr3:uid="{66CFD132-D332-43A2-BF0C-AFE8ECBEA31D}" name="Cleaning products" dataDxfId="59"/>
    <tableColumn id="19" xr3:uid="{63C436FC-A490-4E3A-8AF9-69DC52410A78}" name="Microwave" dataDxfId="58"/>
    <tableColumn id="73" xr3:uid="{2FFA3570-E988-4C8D-BD79-0FEFA8E7879E}" name="Hot water" dataDxfId="57"/>
    <tableColumn id="21" xr3:uid="{D61A8FC0-DE06-4BE9-AFCE-BAA89EDFD6D4}" name="Dishes and silverware" dataDxfId="56"/>
    <tableColumn id="22" xr3:uid="{DFD3A327-56AA-4566-B460-545AE2085F44}" name="Cooking basics" dataDxfId="55"/>
    <tableColumn id="23" xr3:uid="{8A4D1230-B993-4EA9-9020-0A73A6FD041E}" name="Self check-in" dataDxfId="54"/>
    <tableColumn id="24" xr3:uid="{EDE5EB89-E5CE-4725-8A14-19501B48F477}" name="Dedicated workspace" dataDxfId="53"/>
    <tableColumn id="25" xr3:uid="{337BDFEB-6D7F-4894-99B0-AFB8BF5AD589}" name="Hair dryer" dataDxfId="52"/>
    <tableColumn id="26" xr3:uid="{F10ED563-419A-477A-93D4-511FAAF9A97E}" name="Clothing storage" dataDxfId="51"/>
    <tableColumn id="27" xr3:uid="{46EC37D9-14F8-4EC3-A480-BDCCED5DAB04}" name="Baking sheet" dataDxfId="50"/>
    <tableColumn id="28" xr3:uid="{D76E05EE-055F-453E-9F8A-C8A01CBB5C82}" name="Shower gel" dataDxfId="49"/>
    <tableColumn id="29" xr3:uid="{C0E0EA11-BBE8-4B00-9F12-F634E14DDE8E}" name="Dryer" dataDxfId="48"/>
    <tableColumn id="74" xr3:uid="{AED96BD2-213A-484A-A2B8-E207E092A838}" name="Body soap" dataDxfId="47">
      <calculatedColumnFormula>Tableau4[[#This Row],[Shower gel]]</calculatedColumnFormula>
    </tableColumn>
    <tableColumn id="75" xr3:uid="{2A16966E-4396-45E6-B918-7DF14A66E615}" name="Drying rack for clothing" dataDxfId="46">
      <calculatedColumnFormula>Tableau4[[#This Row],[Clothing storage]]</calculatedColumnFormula>
    </tableColumn>
    <tableColumn id="30" xr3:uid="{99E88F38-DC08-4488-A380-A12A7157E2FF}" name="Iron" dataDxfId="45"/>
    <tableColumn id="76" xr3:uid="{CE1B5C0C-7FEE-42ED-9409-138BEC61A1A3}" name="Free dryer" dataDxfId="44">
      <calculatedColumnFormula>Tableau4[[#This Row],[Dryer]]</calculatedColumnFormula>
    </tableColumn>
    <tableColumn id="31" xr3:uid="{468F4A40-E403-4438-9A69-6DCEF95C799B}" name="Bathtub" dataDxfId="43"/>
    <tableColumn id="32" xr3:uid="{3E50C910-973B-46BD-9367-0935F6967B1E}" name="Fire extinguisher" dataDxfId="42"/>
    <tableColumn id="33" xr3:uid="{0F6E2B0E-3214-4A25-B701-E186DED8669F}" name="Free washer" dataDxfId="41"/>
    <tableColumn id="34" xr3:uid="{700687BB-B926-4318-B9B8-1D715B9F8BAF}" name="Carbon monoxide alarm" dataDxfId="40"/>
    <tableColumn id="35" xr3:uid="{6F79B386-4C2B-4BC2-B54F-B8FE4A4C42BA}" name="Building staff" dataDxfId="39"/>
    <tableColumn id="36" xr3:uid="{76095C12-1C37-47EF-815A-F1638F37FDF6}" name="Books and reading material" dataDxfId="38"/>
    <tableColumn id="37" xr3:uid="{F197EEEB-609C-429E-8A15-4B8D7C6020EA}" name="closet" dataDxfId="37">
      <calculatedColumnFormula>Tableau4[[#This Row],[Clothing storage]]</calculatedColumnFormula>
    </tableColumn>
    <tableColumn id="38" xr3:uid="{B65FB4A3-20BC-4278-818F-828357D33835}" name="accommodates_squared" dataDxfId="36">
      <calculatedColumnFormula>Tableau4[[#This Row],[accommodates]]^2</calculatedColumnFormula>
    </tableColumn>
    <tableColumn id="77" xr3:uid="{140663D3-3B8F-4448-9DE8-A9B8673DAE3A}" name="bedrooms_squared" dataDxfId="35"/>
    <tableColumn id="78" xr3:uid="{F8387F5F-B242-43ED-B190-657EEE3BA87D}" name="bathrooms_squared" dataDxfId="34">
      <calculatedColumnFormula>Tableau4[[#This Row],[bathrooms]]^2</calculatedColumnFormula>
    </tableColumn>
    <tableColumn id="39" xr3:uid="{DC1AD785-6138-4546-B7C1-C9B771D27304}" name="beds_squared" dataDxfId="33">
      <calculatedColumnFormula>Tableau4[[#This Row],[beds]]^2</calculatedColumnFormula>
    </tableColumn>
    <tableColumn id="40" xr3:uid="{28AB5B42-0353-4475-BE1C-C9B88DA998A8}" name="neighbourhood_cleansed_Batignolles_Monceau" dataDxfId="32"/>
    <tableColumn id="41" xr3:uid="{9511FF1F-4260-483E-B0F2-A4872D38E019}" name="neighbourhood_cleansed_Bourse" dataDxfId="31"/>
    <tableColumn id="42" xr3:uid="{5EE6E333-224A-49FF-AE5D-3DAAC45FF3D3}" name="neighbourhood_cleansed_Buttes-Chaumont" dataDxfId="30"/>
    <tableColumn id="43" xr3:uid="{4C243AF9-BE32-43C6-928E-EAFFFD508569}" name="neighbourhood_cleansed_Buttes-Montmartre" dataDxfId="29"/>
    <tableColumn id="44" xr3:uid="{13444BCD-1F00-4162-B339-CD3A7C49FAD4}" name="neighbourhood_cleansed_Entrepôt" dataDxfId="28"/>
    <tableColumn id="45" xr3:uid="{3E8E42A1-2BC9-462E-A994-065E970B739B}" name="neighbourhood_cleansed_Gobelins" dataDxfId="27"/>
    <tableColumn id="46" xr3:uid="{7B249CA4-7CCA-4CAF-8E8D-D4850CCBCD8C}" name="neighbourhood_cleansed_Hôtel-de-Ville" dataDxfId="26"/>
    <tableColumn id="47" xr3:uid="{A04B0801-74A5-454B-9E71-4042B7325C81}" name="neighbourhood_cleansed_Louvre" dataDxfId="25"/>
    <tableColumn id="48" xr3:uid="{34F3390D-4FF8-4448-822D-4C6A30BC56D6}" name="neighbourhood_cleansed_Luxembourg" dataDxfId="24"/>
    <tableColumn id="49" xr3:uid="{F000BEC8-6976-4C0D-A1D8-5FF22F9D7757}" name="neighbourhood_cleansed_Ménilmontant" dataDxfId="23"/>
    <tableColumn id="50" xr3:uid="{34B4D596-7248-4A13-895B-ABD6B30DFDE5}" name="neighbourhood_cleansed_Observatoire" dataDxfId="22"/>
    <tableColumn id="51" xr3:uid="{1C8F6A85-42B5-49BD-9C93-BD2E7896430B}" name="neighbourhood_cleansed_Opéra" dataDxfId="21"/>
    <tableColumn id="52" xr3:uid="{2C009553-8E69-4383-A3C9-BFC6407B072E}" name="neighbourhood_cleansed_Palais-Bourbon" dataDxfId="20"/>
    <tableColumn id="53" xr3:uid="{0712F701-3FBA-4D89-BC20-A4C90B7243BC}" name="neighbourhood_cleansed_Panthéon" dataDxfId="19"/>
    <tableColumn id="54" xr3:uid="{BF48E10C-57DA-4114-98B7-4295B2B179ED}" name="neighbourhood_cleansed_Passy" dataDxfId="18"/>
    <tableColumn id="55" xr3:uid="{24F1D10F-D2C5-49E3-8BE5-6B6F4E231EC8}" name="neighbourhood_cleansed_Popincourt" dataDxfId="17"/>
    <tableColumn id="56" xr3:uid="{313441FB-22D0-4623-8348-1B5E0991F092}" name="neighbourhood_cleansed_Reuilly" dataDxfId="16"/>
    <tableColumn id="57" xr3:uid="{07E3F9BA-1C8C-4315-A0C0-0A6FADF47404}" name="neighbourhood_cleansed_Temple" dataDxfId="15"/>
    <tableColumn id="58" xr3:uid="{4657BA8C-C75A-4812-9B98-A7185DFABE27}" name="neighbourhood_cleansed_Vaugirard" dataDxfId="14"/>
    <tableColumn id="59" xr3:uid="{2DDAC467-37A4-42D9-AB2E-8960B4AA8FDF}" name="neighbourhood_cleansed_Élysée" dataDxfId="13"/>
    <tableColumn id="60" xr3:uid="{1E2709DB-E0F3-4F13-B52E-E727F1DB78F0}" name="property_type_Entire condo" dataDxfId="12"/>
    <tableColumn id="61" xr3:uid="{C5B48FD5-C531-40CB-800B-AA50EEE09889}" name="property_type_Entire rental unit" dataDxfId="11"/>
    <tableColumn id="62" xr3:uid="{8E75A02C-7A83-47F3-96DE-6949B8F8F2C9}" name="property_type_Entire serviced apartment" dataDxfId="10"/>
    <tableColumn id="63" xr3:uid="{A9D18C72-723B-44BE-AF5D-D92FC2E1D879}" name="property_type_Entire townhouse" dataDxfId="9"/>
    <tableColumn id="65" xr3:uid="{06BFE305-9438-41BE-9888-A434D067DDEA}" name="property_type_Private room in guesthouse" dataDxfId="8"/>
    <tableColumn id="66" xr3:uid="{61F6129E-A9AF-4DAC-BFFF-D03D78B4443B}" name="property_type_Private room in hostel" dataDxfId="7"/>
    <tableColumn id="67" xr3:uid="{557EF928-1FE3-4772-917F-E88D816E5253}" name="property_type_Private room in loft" dataDxfId="6"/>
    <tableColumn id="68" xr3:uid="{0F415C48-FAB2-4439-8CB5-9214DD4C344D}" name="property_type_Private room in rental unit" dataDxfId="5"/>
    <tableColumn id="69" xr3:uid="{A2ED5ECD-6608-4A81-9520-A0CD2586C2A9}" name="property_type_Room in boutique hotel " dataDxfId="4"/>
    <tableColumn id="70" xr3:uid="{8F91DFE5-BFA9-4187-B5FC-77C3AAB07A88}" name="property_type_Room in hotel " dataDxfId="3"/>
    <tableColumn id="71" xr3:uid="{776F633B-6CEB-4371-8F39-9221A2162ACE}" name="property_type_Hotel room" dataDxfId="2"/>
    <tableColumn id="72" xr3:uid="{8D0292DB-0F62-4737-A03F-45B83E4114E9}" name="property_type_Private room" dataDxfId="1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286AF9-FEC8-478F-AFDC-D87EE385C1FC}" name="TableauPhrase" displayName="TableauPhrase" ref="D1:D4" totalsRowCount="1" tableBorderDxfId="0">
  <autoFilter ref="D1:D3" xr:uid="{4E286AF9-FEC8-478F-AFDC-D87EE385C1FC}"/>
  <tableColumns count="1">
    <tableColumn id="1" xr3:uid="{854C23F5-49E6-4661-B85B-29107924C2A0}" name="phrase" totalsRowFunction="custom">
      <calculatedColumnFormula>"Le prix moyen dans le " &amp;B2&amp;" arrondissement est " &amp;B1&amp;  " $"</calculatedColumnFormula>
      <totalsRowFormula>"Précisement, le prix qu'on vous recommande est compris entre "&amp;ROUND(B3,2)&amp;" $ et " &amp;ROUND(B4,2)&amp; " $."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2578125" defaultRowHeight="15" x14ac:dyDescent="0.25"/>
  <cols>
    <col min="1" max="2" width="11.42578125" style="4"/>
    <col min="3" max="3" width="4.7109375" style="4" customWidth="1"/>
    <col min="4" max="4" width="61.85546875" style="4" customWidth="1"/>
    <col min="5" max="5" width="4.7109375" style="4" customWidth="1"/>
    <col min="6" max="16384" width="11.42578125" style="4"/>
  </cols>
  <sheetData>
    <row r="5" spans="4:4" ht="18" x14ac:dyDescent="0.25">
      <c r="D5" s="3"/>
    </row>
    <row r="7" spans="4:4" ht="18" x14ac:dyDescent="0.25">
      <c r="D7" s="5"/>
    </row>
    <row r="9" spans="4:4" ht="18" x14ac:dyDescent="0.25">
      <c r="D9" s="6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D1"/>
  <sheetViews>
    <sheetView workbookViewId="0">
      <selection activeCell="D7" sqref="D7"/>
    </sheetView>
  </sheetViews>
  <sheetFormatPr baseColWidth="10" defaultRowHeight="15" x14ac:dyDescent="0.25"/>
  <sheetData>
    <row r="1" spans="1:4" x14ac:dyDescent="0.25">
      <c r="A1" t="s">
        <v>152</v>
      </c>
      <c r="B1" t="s">
        <v>153</v>
      </c>
      <c r="C1" t="s">
        <v>154</v>
      </c>
      <c r="D1" t="s">
        <v>157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4"/>
  <sheetViews>
    <sheetView topLeftCell="AL1" workbookViewId="0">
      <selection activeCell="AS2" sqref="AS2"/>
    </sheetView>
  </sheetViews>
  <sheetFormatPr baseColWidth="10" defaultRowHeight="15" x14ac:dyDescent="0.25"/>
  <cols>
    <col min="2" max="12" width="15.28515625" customWidth="1"/>
    <col min="77" max="77" width="11.7109375" customWidth="1"/>
  </cols>
  <sheetData>
    <row r="1" spans="1:77" x14ac:dyDescent="0.25">
      <c r="A1" t="s">
        <v>151</v>
      </c>
      <c r="B1" t="s">
        <v>137</v>
      </c>
      <c r="C1" t="s">
        <v>75</v>
      </c>
      <c r="D1" t="s">
        <v>76</v>
      </c>
      <c r="E1" t="s">
        <v>77</v>
      </c>
      <c r="F1" t="s">
        <v>79</v>
      </c>
      <c r="G1" t="s">
        <v>78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138</v>
      </c>
      <c r="V1" t="s">
        <v>145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139</v>
      </c>
      <c r="AF1" t="s">
        <v>140</v>
      </c>
      <c r="AG1" t="s">
        <v>101</v>
      </c>
      <c r="AH1" t="s">
        <v>141</v>
      </c>
      <c r="AI1" t="s">
        <v>102</v>
      </c>
      <c r="AJ1" t="s">
        <v>103</v>
      </c>
      <c r="AK1" t="s">
        <v>104</v>
      </c>
      <c r="AL1" t="s">
        <v>105</v>
      </c>
      <c r="AM1" t="s">
        <v>106</v>
      </c>
      <c r="AN1" t="s">
        <v>107</v>
      </c>
      <c r="AO1" t="s">
        <v>108</v>
      </c>
      <c r="AP1" t="s">
        <v>146</v>
      </c>
      <c r="AQ1" t="s">
        <v>142</v>
      </c>
      <c r="AR1" t="s">
        <v>143</v>
      </c>
      <c r="AS1" t="s">
        <v>147</v>
      </c>
      <c r="AT1" t="s">
        <v>109</v>
      </c>
      <c r="AU1" t="s">
        <v>110</v>
      </c>
      <c r="AV1" t="s">
        <v>144</v>
      </c>
      <c r="AW1" t="s">
        <v>111</v>
      </c>
      <c r="AX1" t="s">
        <v>112</v>
      </c>
      <c r="AY1" t="s">
        <v>113</v>
      </c>
      <c r="AZ1" t="s">
        <v>114</v>
      </c>
      <c r="BA1" t="s">
        <v>115</v>
      </c>
      <c r="BB1" t="s">
        <v>116</v>
      </c>
      <c r="BC1" t="s">
        <v>117</v>
      </c>
      <c r="BD1" t="s">
        <v>118</v>
      </c>
      <c r="BE1" t="s">
        <v>119</v>
      </c>
      <c r="BF1" t="s">
        <v>120</v>
      </c>
      <c r="BG1" t="s">
        <v>121</v>
      </c>
      <c r="BH1" t="s">
        <v>122</v>
      </c>
      <c r="BI1" t="s">
        <v>123</v>
      </c>
      <c r="BJ1" t="s">
        <v>124</v>
      </c>
      <c r="BK1" t="s">
        <v>126</v>
      </c>
      <c r="BL1" t="s">
        <v>125</v>
      </c>
      <c r="BM1" t="s">
        <v>148</v>
      </c>
      <c r="BN1" t="s">
        <v>127</v>
      </c>
      <c r="BO1" t="s">
        <v>149</v>
      </c>
      <c r="BP1" t="s">
        <v>150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</row>
    <row r="2" spans="1:77" x14ac:dyDescent="0.25">
      <c r="A2">
        <v>1</v>
      </c>
      <c r="B2" s="1" t="s">
        <v>182</v>
      </c>
      <c r="C2" s="1" t="s">
        <v>181</v>
      </c>
      <c r="D2" s="1" t="s">
        <v>182</v>
      </c>
      <c r="E2" s="1" t="b">
        <v>0</v>
      </c>
      <c r="F2" s="1" t="b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 t="b">
        <v>0</v>
      </c>
      <c r="P2" s="1" t="b">
        <v>0</v>
      </c>
      <c r="Q2" s="1" t="b">
        <v>0</v>
      </c>
      <c r="R2" s="1" t="b">
        <v>0</v>
      </c>
      <c r="S2" s="1" t="b">
        <v>0</v>
      </c>
      <c r="T2" s="1" t="b">
        <v>0</v>
      </c>
      <c r="U2" s="1" t="b">
        <v>1</v>
      </c>
      <c r="V2" s="1" t="b">
        <v>0</v>
      </c>
      <c r="W2" s="1" t="b">
        <v>0</v>
      </c>
      <c r="X2" s="1" t="b">
        <v>0</v>
      </c>
      <c r="Y2" s="1" t="b">
        <v>0</v>
      </c>
      <c r="Z2" s="1" t="b">
        <v>0</v>
      </c>
      <c r="AA2" s="1" t="b">
        <v>0</v>
      </c>
      <c r="AB2" s="1" t="b">
        <v>0</v>
      </c>
      <c r="AC2" s="1" t="b">
        <v>0</v>
      </c>
      <c r="AD2" s="1" t="b">
        <v>0</v>
      </c>
      <c r="AE2" s="1" t="b">
        <f>Tableau4[[#This Row],[Shower gel]]</f>
        <v>0</v>
      </c>
      <c r="AF2" s="1" t="b">
        <f>Tableau4[[#This Row],[Clothing storage]]</f>
        <v>0</v>
      </c>
      <c r="AG2" s="1" t="b">
        <v>0</v>
      </c>
      <c r="AH2" s="1" t="b">
        <f>Tableau4[[#This Row],[Dryer]]</f>
        <v>0</v>
      </c>
      <c r="AI2" s="1" t="b">
        <v>0</v>
      </c>
      <c r="AJ2" s="1" t="b">
        <v>0</v>
      </c>
      <c r="AK2" s="1" t="b">
        <v>0</v>
      </c>
      <c r="AL2" s="1" t="b">
        <v>0</v>
      </c>
      <c r="AM2" s="1" t="b">
        <v>0</v>
      </c>
      <c r="AN2" s="1" t="b">
        <v>0</v>
      </c>
      <c r="AO2" s="1" t="b">
        <f>Tableau4[[#This Row],[Clothing storage]]</f>
        <v>0</v>
      </c>
      <c r="AP2" s="1">
        <f>Tableau4[[#This Row],[accommodates]]^2</f>
        <v>16</v>
      </c>
      <c r="AQ2" s="1">
        <v>4</v>
      </c>
      <c r="AR2" s="1">
        <f>Tableau4[[#This Row],[bathrooms]]^2</f>
        <v>9</v>
      </c>
      <c r="AS2" s="1">
        <f>Tableau4[[#This Row],[beds]]^2</f>
        <v>16</v>
      </c>
      <c r="AT2" s="1">
        <f>IF(AT3=0,0,1)</f>
        <v>0</v>
      </c>
      <c r="AU2" s="1">
        <f t="shared" ref="AU2:BM2" si="0">IF(AU3=0,0,1)</f>
        <v>0</v>
      </c>
      <c r="AV2" s="1">
        <f t="shared" si="0"/>
        <v>0</v>
      </c>
      <c r="AW2" s="1">
        <f t="shared" si="0"/>
        <v>0</v>
      </c>
      <c r="AX2" s="1">
        <f t="shared" si="0"/>
        <v>1</v>
      </c>
      <c r="AY2" s="1">
        <f t="shared" si="0"/>
        <v>0</v>
      </c>
      <c r="AZ2" s="1">
        <f t="shared" si="0"/>
        <v>0</v>
      </c>
      <c r="BA2" s="1">
        <f t="shared" si="0"/>
        <v>0</v>
      </c>
      <c r="BB2" s="1">
        <f t="shared" si="0"/>
        <v>0</v>
      </c>
      <c r="BC2" s="1">
        <f t="shared" si="0"/>
        <v>0</v>
      </c>
      <c r="BD2" s="1">
        <f t="shared" si="0"/>
        <v>0</v>
      </c>
      <c r="BE2" s="1">
        <f t="shared" si="0"/>
        <v>0</v>
      </c>
      <c r="BF2" s="1">
        <f t="shared" si="0"/>
        <v>0</v>
      </c>
      <c r="BG2" s="1">
        <f t="shared" si="0"/>
        <v>0</v>
      </c>
      <c r="BH2" s="1">
        <f t="shared" si="0"/>
        <v>0</v>
      </c>
      <c r="BI2" s="1">
        <f t="shared" si="0"/>
        <v>0</v>
      </c>
      <c r="BJ2" s="1">
        <f t="shared" si="0"/>
        <v>0</v>
      </c>
      <c r="BK2" s="1">
        <f t="shared" si="0"/>
        <v>0</v>
      </c>
      <c r="BL2" s="1">
        <f t="shared" si="0"/>
        <v>0</v>
      </c>
      <c r="BM2" s="1">
        <f t="shared" si="0"/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1</v>
      </c>
    </row>
    <row r="3" spans="1:77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Tableau4[[#This Row],[Shower gel]]</f>
        <v>0</v>
      </c>
      <c r="AF3" s="1">
        <f>Tableau4[[#This Row],[Clothing storage]]</f>
        <v>0</v>
      </c>
      <c r="AG3" s="1"/>
      <c r="AH3" s="1">
        <f>Tableau4[[#This Row],[Dryer]]</f>
        <v>0</v>
      </c>
      <c r="AI3" s="1"/>
      <c r="AJ3" s="1"/>
      <c r="AK3" s="1"/>
      <c r="AL3" s="1"/>
      <c r="AM3" s="1"/>
      <c r="AN3" s="1"/>
      <c r="AO3" s="1">
        <f>Tableau4[[#This Row],[Clothing storage]]</f>
        <v>0</v>
      </c>
      <c r="AP3" s="1">
        <f>Tableau4[[#This Row],[accommodates]]^2</f>
        <v>0</v>
      </c>
      <c r="AQ3" s="1"/>
      <c r="AR3" s="1">
        <f>Tableau4[[#This Row],[bathrooms]]^2</f>
        <v>0</v>
      </c>
      <c r="AS3" s="1">
        <f>Tableau4[[#This Row],[beds]]^2</f>
        <v>0</v>
      </c>
      <c r="AT3" s="1">
        <v>0</v>
      </c>
      <c r="AU3" s="1">
        <v>0</v>
      </c>
      <c r="AV3" s="1">
        <v>0</v>
      </c>
      <c r="AW3" s="1">
        <v>0</v>
      </c>
      <c r="AX3" s="1">
        <v>1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Tableau4[[#This Row],[Shower gel]]</f>
        <v>0</v>
      </c>
      <c r="AF4" s="1">
        <f>Tableau4[[#This Row],[Clothing storage]]</f>
        <v>0</v>
      </c>
      <c r="AG4" s="1"/>
      <c r="AH4" s="1">
        <f>Tableau4[[#This Row],[Dryer]]</f>
        <v>0</v>
      </c>
      <c r="AI4" s="1"/>
      <c r="AJ4" s="1"/>
      <c r="AK4" s="1"/>
      <c r="AL4" s="1"/>
      <c r="AM4" s="1"/>
      <c r="AN4" s="1"/>
      <c r="AO4" s="1">
        <f>Tableau4[[#This Row],[Clothing storage]]</f>
        <v>0</v>
      </c>
      <c r="AP4" s="1">
        <f>Tableau4[[#This Row],[accommodates]]^2</f>
        <v>0</v>
      </c>
      <c r="AQ4" s="1"/>
      <c r="AR4" s="1">
        <f>Tableau4[[#This Row],[bathrooms]]^2</f>
        <v>0</v>
      </c>
      <c r="AS4" s="1">
        <f>Tableau4[[#This Row],[beds]]^2</f>
        <v>0</v>
      </c>
      <c r="AT4" s="1" t="str">
        <f t="shared" ref="AT4" si="1">IF(AT3=0,"","OUI")</f>
        <v/>
      </c>
      <c r="AU4" s="1" t="str">
        <f t="shared" ref="AU4" si="2">IF(AU3=0,"","OUI")</f>
        <v/>
      </c>
      <c r="AV4" s="1" t="str">
        <f t="shared" ref="AV4" si="3">IF(AV3=0,"","OUI")</f>
        <v/>
      </c>
      <c r="AW4" s="1" t="str">
        <f t="shared" ref="AW4" si="4">IF(AW3=0,"","OUI")</f>
        <v/>
      </c>
      <c r="AX4" s="1" t="str">
        <f t="shared" ref="AX4" si="5">IF(AX3=0,"","OUI")</f>
        <v>OUI</v>
      </c>
      <c r="AY4" s="1" t="str">
        <f t="shared" ref="AY4" si="6">IF(AY3=0,"","OUI")</f>
        <v/>
      </c>
      <c r="AZ4" s="1" t="str">
        <f t="shared" ref="AZ4:BA4" si="7">IF(AZ3=0,"","OUI")</f>
        <v/>
      </c>
      <c r="BA4" s="1" t="str">
        <f t="shared" si="7"/>
        <v/>
      </c>
      <c r="BB4" s="1" t="str">
        <f>IF(BB3=0,"","OUI")</f>
        <v/>
      </c>
      <c r="BC4" s="1" t="str">
        <f t="shared" ref="BC4:BM4" si="8">IF(BC3=0,"","OUI")</f>
        <v/>
      </c>
      <c r="BD4" s="1" t="str">
        <f t="shared" si="8"/>
        <v/>
      </c>
      <c r="BE4" s="1" t="str">
        <f t="shared" si="8"/>
        <v/>
      </c>
      <c r="BF4" s="1" t="str">
        <f t="shared" si="8"/>
        <v/>
      </c>
      <c r="BG4" s="1" t="str">
        <f t="shared" si="8"/>
        <v/>
      </c>
      <c r="BH4" s="1" t="str">
        <f t="shared" si="8"/>
        <v/>
      </c>
      <c r="BI4" s="1" t="str">
        <f t="shared" si="8"/>
        <v/>
      </c>
      <c r="BJ4" s="1" t="str">
        <f t="shared" si="8"/>
        <v/>
      </c>
      <c r="BK4" s="1" t="str">
        <f t="shared" si="8"/>
        <v/>
      </c>
      <c r="BL4" s="1" t="str">
        <f t="shared" si="8"/>
        <v/>
      </c>
      <c r="BM4" s="1" t="str">
        <f t="shared" si="8"/>
        <v/>
      </c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tabSelected="1" topLeftCell="AZ1" workbookViewId="0">
      <selection activeCell="BE11" sqref="BE11"/>
    </sheetView>
  </sheetViews>
  <sheetFormatPr baseColWidth="10" defaultRowHeight="15" x14ac:dyDescent="0.25"/>
  <sheetData>
    <row r="1" spans="1:77" x14ac:dyDescent="0.25">
      <c r="A1" t="s">
        <v>151</v>
      </c>
      <c r="B1" t="s">
        <v>137</v>
      </c>
      <c r="C1" t="s">
        <v>75</v>
      </c>
      <c r="D1" t="s">
        <v>76</v>
      </c>
      <c r="E1" t="s">
        <v>77</v>
      </c>
      <c r="F1" t="s">
        <v>79</v>
      </c>
      <c r="G1" t="s">
        <v>78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138</v>
      </c>
      <c r="V1" t="s">
        <v>145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139</v>
      </c>
      <c r="AF1" t="s">
        <v>140</v>
      </c>
      <c r="AG1" t="s">
        <v>101</v>
      </c>
      <c r="AH1" t="s">
        <v>141</v>
      </c>
      <c r="AI1" t="s">
        <v>102</v>
      </c>
      <c r="AJ1" t="s">
        <v>103</v>
      </c>
      <c r="AK1" t="s">
        <v>104</v>
      </c>
      <c r="AL1" t="s">
        <v>105</v>
      </c>
      <c r="AM1" t="s">
        <v>106</v>
      </c>
      <c r="AN1" t="s">
        <v>107</v>
      </c>
      <c r="AO1" t="s">
        <v>108</v>
      </c>
      <c r="AP1" t="s">
        <v>146</v>
      </c>
      <c r="AQ1" t="s">
        <v>142</v>
      </c>
      <c r="AR1" t="s">
        <v>143</v>
      </c>
      <c r="AS1" t="s">
        <v>147</v>
      </c>
      <c r="AT1" t="s">
        <v>109</v>
      </c>
      <c r="AU1" t="s">
        <v>110</v>
      </c>
      <c r="AV1" t="s">
        <v>144</v>
      </c>
      <c r="AW1" t="s">
        <v>111</v>
      </c>
      <c r="AX1" t="s">
        <v>112</v>
      </c>
      <c r="AY1" t="s">
        <v>113</v>
      </c>
      <c r="AZ1" t="s">
        <v>114</v>
      </c>
      <c r="BA1" t="s">
        <v>115</v>
      </c>
      <c r="BB1" t="s">
        <v>116</v>
      </c>
      <c r="BC1" t="s">
        <v>117</v>
      </c>
      <c r="BD1" t="s">
        <v>118</v>
      </c>
      <c r="BE1" t="s">
        <v>119</v>
      </c>
      <c r="BF1" t="s">
        <v>120</v>
      </c>
      <c r="BG1" t="s">
        <v>121</v>
      </c>
      <c r="BH1" t="s">
        <v>122</v>
      </c>
      <c r="BI1" t="s">
        <v>123</v>
      </c>
      <c r="BJ1" t="s">
        <v>124</v>
      </c>
      <c r="BK1" t="s">
        <v>126</v>
      </c>
      <c r="BL1" t="s">
        <v>125</v>
      </c>
      <c r="BM1" t="s">
        <v>148</v>
      </c>
      <c r="BN1" t="s">
        <v>127</v>
      </c>
      <c r="BO1" t="s">
        <v>149</v>
      </c>
      <c r="BP1" t="s">
        <v>150</v>
      </c>
      <c r="BQ1" t="s">
        <v>128</v>
      </c>
      <c r="BR1" t="s">
        <v>129</v>
      </c>
      <c r="BS1" t="s">
        <v>130</v>
      </c>
      <c r="BT1" t="s">
        <v>131</v>
      </c>
      <c r="BU1" t="s">
        <v>132</v>
      </c>
      <c r="BV1" t="s">
        <v>133</v>
      </c>
      <c r="BW1" t="s">
        <v>134</v>
      </c>
      <c r="BX1" t="s">
        <v>135</v>
      </c>
      <c r="BY1" t="s">
        <v>136</v>
      </c>
    </row>
    <row r="2" spans="1:77" x14ac:dyDescent="0.25">
      <c r="A2">
        <f>Donnees!A2</f>
        <v>1</v>
      </c>
      <c r="B2" t="str">
        <f>Donnees!B2</f>
        <v>4</v>
      </c>
      <c r="C2" t="str">
        <f>Donnees!C2</f>
        <v>3</v>
      </c>
      <c r="D2" t="str">
        <f>Donnees!D2</f>
        <v>4</v>
      </c>
      <c r="E2">
        <f>IF(Donnees!E2=TRUE,1,0)</f>
        <v>0</v>
      </c>
      <c r="F2">
        <f>IF(Donnees!F2=TRUE,1,0)</f>
        <v>0</v>
      </c>
      <c r="G2">
        <f>IF(Donnees!G2=TRUE,1,0)</f>
        <v>0</v>
      </c>
      <c r="H2">
        <f>IF(Donnees!H2=TRUE,1,0)</f>
        <v>0</v>
      </c>
      <c r="I2">
        <f>IF(Donnees!I2=TRUE,1,0)</f>
        <v>0</v>
      </c>
      <c r="J2">
        <f>IF(Donnees!J2=TRUE,1,0)</f>
        <v>0</v>
      </c>
      <c r="K2">
        <f>IF(Donnees!K2=TRUE,1,0)</f>
        <v>0</v>
      </c>
      <c r="L2">
        <f>IF(Donnees!L2=TRUE,1,0)</f>
        <v>0</v>
      </c>
      <c r="M2">
        <f>IF(Donnees!M2=TRUE,1,0)</f>
        <v>0</v>
      </c>
      <c r="N2">
        <f>IF(Donnees!N2=TRUE,1,0)</f>
        <v>0</v>
      </c>
      <c r="O2">
        <f>IF(Donnees!O2=TRUE,1,0)</f>
        <v>0</v>
      </c>
      <c r="P2">
        <f>IF(Donnees!P2=TRUE,1,0)</f>
        <v>0</v>
      </c>
      <c r="Q2">
        <f>IF(Donnees!Q2=TRUE,1,0)</f>
        <v>0</v>
      </c>
      <c r="R2">
        <f>IF(Donnees!R2=TRUE,1,0)</f>
        <v>0</v>
      </c>
      <c r="S2">
        <f>IF(Donnees!S2=TRUE,1,0)</f>
        <v>0</v>
      </c>
      <c r="T2">
        <f>IF(Donnees!T2=TRUE,1,0)</f>
        <v>0</v>
      </c>
      <c r="U2">
        <f>IF(Donnees!U2=TRUE,1,0)</f>
        <v>1</v>
      </c>
      <c r="V2">
        <f>IF(Donnees!V2=TRUE,1,0)</f>
        <v>0</v>
      </c>
      <c r="W2">
        <f>IF(Donnees!W2=TRUE,1,0)</f>
        <v>0</v>
      </c>
      <c r="X2">
        <f>IF(Donnees!X2=TRUE,1,0)</f>
        <v>0</v>
      </c>
      <c r="Y2">
        <f>IF(Donnees!Y2=TRUE,1,0)</f>
        <v>0</v>
      </c>
      <c r="Z2">
        <f>IF(Donnees!Z2=TRUE,1,0)</f>
        <v>0</v>
      </c>
      <c r="AA2">
        <f>IF(Donnees!AA2=TRUE,1,0)</f>
        <v>0</v>
      </c>
      <c r="AB2">
        <f>IF(Donnees!AB2=TRUE,1,0)</f>
        <v>0</v>
      </c>
      <c r="AC2">
        <f>IF(Donnees!AC2=TRUE,1,0)</f>
        <v>0</v>
      </c>
      <c r="AD2">
        <f>IF(Donnees!AD2=TRUE,1,0)</f>
        <v>0</v>
      </c>
      <c r="AE2">
        <f>IF(Donnees!AE2=TRUE,1,0)</f>
        <v>0</v>
      </c>
      <c r="AF2">
        <f>IF(Donnees!AF2=TRUE,1,0)</f>
        <v>0</v>
      </c>
      <c r="AG2">
        <f>IF(Donnees!AG2=TRUE,1,0)</f>
        <v>0</v>
      </c>
      <c r="AH2">
        <f>IF(Donnees!AH2=TRUE,1,0)</f>
        <v>0</v>
      </c>
      <c r="AI2">
        <f>IF(Donnees!AI2=TRUE,1,0)</f>
        <v>0</v>
      </c>
      <c r="AJ2">
        <f>IF(Donnees!AJ2=TRUE,1,0)</f>
        <v>0</v>
      </c>
      <c r="AK2">
        <f>IF(Donnees!AK2=TRUE,1,0)</f>
        <v>0</v>
      </c>
      <c r="AL2">
        <f>IF(Donnees!AL2=TRUE,1,0)</f>
        <v>0</v>
      </c>
      <c r="AM2">
        <f>IF(Donnees!AM2=TRUE,1,0)</f>
        <v>0</v>
      </c>
      <c r="AN2">
        <f>IF(Donnees!AN2=TRUE,1,0)</f>
        <v>0</v>
      </c>
      <c r="AO2">
        <f>IF(Donnees!AO2=TRUE,1,0)</f>
        <v>0</v>
      </c>
      <c r="AP2">
        <f>Donnees!AP2</f>
        <v>16</v>
      </c>
      <c r="AQ2">
        <f>Donnees!AQ2</f>
        <v>4</v>
      </c>
      <c r="AR2">
        <f>Donnees!AR2</f>
        <v>9</v>
      </c>
      <c r="AS2">
        <f>Donnees!AS2</f>
        <v>16</v>
      </c>
      <c r="AT2">
        <f>Donnees!AT2</f>
        <v>0</v>
      </c>
      <c r="AU2">
        <f>Donnees!AU2</f>
        <v>0</v>
      </c>
      <c r="AV2">
        <f>Donnees!AV2</f>
        <v>0</v>
      </c>
      <c r="AW2">
        <f>Donnees!AW2</f>
        <v>0</v>
      </c>
      <c r="AX2">
        <f>Donnees!AX2</f>
        <v>1</v>
      </c>
      <c r="AY2">
        <f>Donnees!AY2</f>
        <v>0</v>
      </c>
      <c r="AZ2">
        <f>Donnees!AZ2</f>
        <v>0</v>
      </c>
      <c r="BA2">
        <f>Donnees!BA2</f>
        <v>0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0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C1" zoomScale="115" zoomScaleNormal="115" workbookViewId="0">
      <selection activeCell="H11" sqref="H11"/>
    </sheetView>
  </sheetViews>
  <sheetFormatPr baseColWidth="10" defaultRowHeight="15" x14ac:dyDescent="0.2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8" max="8" width="23.140625" customWidth="1"/>
    <col min="9" max="9" width="1.5703125" customWidth="1"/>
    <col min="10" max="10" width="10.85546875" hidden="1" customWidth="1"/>
    <col min="11" max="11" width="54.140625" customWidth="1"/>
  </cols>
  <sheetData>
    <row r="1" spans="1:8" x14ac:dyDescent="0.25">
      <c r="A1" t="s">
        <v>7</v>
      </c>
      <c r="B1" t="s">
        <v>6</v>
      </c>
      <c r="C1" t="s">
        <v>14</v>
      </c>
      <c r="D1" t="s">
        <v>8</v>
      </c>
      <c r="E1" t="s">
        <v>60</v>
      </c>
      <c r="G1" t="s">
        <v>39</v>
      </c>
      <c r="H1" t="s">
        <v>180</v>
      </c>
    </row>
    <row r="2" spans="1:8" x14ac:dyDescent="0.25">
      <c r="A2">
        <v>0</v>
      </c>
      <c r="B2" t="s">
        <v>3</v>
      </c>
      <c r="C2" t="s">
        <v>26</v>
      </c>
      <c r="D2" t="s">
        <v>9</v>
      </c>
      <c r="E2" t="s">
        <v>61</v>
      </c>
      <c r="G2" t="s">
        <v>41</v>
      </c>
      <c r="H2" t="s">
        <v>171</v>
      </c>
    </row>
    <row r="3" spans="1:8" x14ac:dyDescent="0.25">
      <c r="A3">
        <v>1</v>
      </c>
      <c r="B3" t="s">
        <v>4</v>
      </c>
      <c r="C3" t="s">
        <v>2</v>
      </c>
      <c r="D3" t="s">
        <v>10</v>
      </c>
      <c r="E3" t="s">
        <v>62</v>
      </c>
      <c r="G3" t="s">
        <v>183</v>
      </c>
      <c r="H3" t="s">
        <v>168</v>
      </c>
    </row>
    <row r="4" spans="1:8" x14ac:dyDescent="0.25">
      <c r="A4">
        <v>2</v>
      </c>
      <c r="B4" t="s">
        <v>0</v>
      </c>
      <c r="C4" t="s">
        <v>27</v>
      </c>
      <c r="D4" t="s">
        <v>11</v>
      </c>
      <c r="E4" t="s">
        <v>63</v>
      </c>
      <c r="G4" t="s">
        <v>184</v>
      </c>
      <c r="H4" t="s">
        <v>167</v>
      </c>
    </row>
    <row r="5" spans="1:8" x14ac:dyDescent="0.25">
      <c r="A5">
        <v>3</v>
      </c>
      <c r="B5" t="s">
        <v>5</v>
      </c>
      <c r="C5" t="s">
        <v>28</v>
      </c>
      <c r="D5" t="s">
        <v>12</v>
      </c>
      <c r="E5" t="s">
        <v>64</v>
      </c>
      <c r="G5" t="s">
        <v>185</v>
      </c>
      <c r="H5" t="s">
        <v>178</v>
      </c>
    </row>
    <row r="6" spans="1:8" x14ac:dyDescent="0.25">
      <c r="A6">
        <v>4</v>
      </c>
      <c r="B6" t="s">
        <v>38</v>
      </c>
      <c r="C6" t="s">
        <v>29</v>
      </c>
      <c r="D6" t="s">
        <v>13</v>
      </c>
      <c r="E6" t="s">
        <v>65</v>
      </c>
      <c r="G6" t="s">
        <v>186</v>
      </c>
      <c r="H6" t="s">
        <v>176</v>
      </c>
    </row>
    <row r="7" spans="1:8" x14ac:dyDescent="0.25">
      <c r="A7">
        <v>5</v>
      </c>
      <c r="C7" t="s">
        <v>15</v>
      </c>
      <c r="E7" t="s">
        <v>66</v>
      </c>
      <c r="G7" t="s">
        <v>187</v>
      </c>
      <c r="H7" t="s">
        <v>169</v>
      </c>
    </row>
    <row r="8" spans="1:8" x14ac:dyDescent="0.25">
      <c r="A8">
        <v>6</v>
      </c>
      <c r="C8" t="s">
        <v>30</v>
      </c>
      <c r="E8" t="s">
        <v>67</v>
      </c>
      <c r="G8" t="s">
        <v>188</v>
      </c>
      <c r="H8" t="s">
        <v>172</v>
      </c>
    </row>
    <row r="9" spans="1:8" x14ac:dyDescent="0.25">
      <c r="A9">
        <v>7</v>
      </c>
      <c r="C9" t="s">
        <v>31</v>
      </c>
      <c r="E9" t="s">
        <v>68</v>
      </c>
      <c r="G9" t="s">
        <v>189</v>
      </c>
      <c r="H9" t="s">
        <v>179</v>
      </c>
    </row>
    <row r="10" spans="1:8" x14ac:dyDescent="0.25">
      <c r="A10">
        <v>8</v>
      </c>
      <c r="C10" t="s">
        <v>19</v>
      </c>
      <c r="E10" t="s">
        <v>72</v>
      </c>
      <c r="G10" t="s">
        <v>190</v>
      </c>
      <c r="H10" t="s">
        <v>177</v>
      </c>
    </row>
    <row r="11" spans="1:8" x14ac:dyDescent="0.25">
      <c r="A11">
        <v>9</v>
      </c>
      <c r="C11" t="s">
        <v>20</v>
      </c>
      <c r="E11" t="s">
        <v>69</v>
      </c>
      <c r="G11" t="s">
        <v>191</v>
      </c>
      <c r="H11" t="s">
        <v>175</v>
      </c>
    </row>
    <row r="12" spans="1:8" x14ac:dyDescent="0.25">
      <c r="A12">
        <v>10</v>
      </c>
      <c r="C12" t="s">
        <v>32</v>
      </c>
      <c r="E12" t="s">
        <v>70</v>
      </c>
      <c r="G12" t="s">
        <v>192</v>
      </c>
      <c r="H12" t="s">
        <v>164</v>
      </c>
    </row>
    <row r="13" spans="1:8" x14ac:dyDescent="0.25">
      <c r="C13" t="s">
        <v>17</v>
      </c>
      <c r="E13" t="s">
        <v>71</v>
      </c>
      <c r="G13" t="s">
        <v>193</v>
      </c>
      <c r="H13" t="s">
        <v>162</v>
      </c>
    </row>
    <row r="14" spans="1:8" x14ac:dyDescent="0.25">
      <c r="C14" t="s">
        <v>33</v>
      </c>
      <c r="G14" t="s">
        <v>194</v>
      </c>
      <c r="H14" t="s">
        <v>159</v>
      </c>
    </row>
    <row r="15" spans="1:8" x14ac:dyDescent="0.25">
      <c r="C15" t="s">
        <v>23</v>
      </c>
      <c r="G15" t="s">
        <v>195</v>
      </c>
      <c r="H15" t="s">
        <v>163</v>
      </c>
    </row>
    <row r="16" spans="1:8" x14ac:dyDescent="0.25">
      <c r="C16" t="s">
        <v>34</v>
      </c>
      <c r="G16" t="s">
        <v>196</v>
      </c>
      <c r="H16" t="s">
        <v>166</v>
      </c>
    </row>
    <row r="17" spans="3:8" x14ac:dyDescent="0.25">
      <c r="C17" t="s">
        <v>24</v>
      </c>
      <c r="G17" t="s">
        <v>197</v>
      </c>
      <c r="H17" t="s">
        <v>170</v>
      </c>
    </row>
    <row r="18" spans="3:8" x14ac:dyDescent="0.25">
      <c r="C18" t="s">
        <v>16</v>
      </c>
      <c r="G18" t="s">
        <v>198</v>
      </c>
      <c r="H18" t="s">
        <v>165</v>
      </c>
    </row>
    <row r="19" spans="3:8" x14ac:dyDescent="0.25">
      <c r="C19" t="s">
        <v>1</v>
      </c>
      <c r="G19" t="s">
        <v>199</v>
      </c>
      <c r="H19" t="s">
        <v>161</v>
      </c>
    </row>
    <row r="20" spans="3:8" x14ac:dyDescent="0.25">
      <c r="C20" t="s">
        <v>35</v>
      </c>
      <c r="G20" t="s">
        <v>200</v>
      </c>
      <c r="H20" t="s">
        <v>160</v>
      </c>
    </row>
    <row r="21" spans="3:8" x14ac:dyDescent="0.25">
      <c r="C21" t="s">
        <v>36</v>
      </c>
      <c r="G21" t="s">
        <v>156</v>
      </c>
      <c r="H21" t="s">
        <v>174</v>
      </c>
    </row>
    <row r="22" spans="3:8" x14ac:dyDescent="0.25">
      <c r="C22" t="s">
        <v>25</v>
      </c>
    </row>
    <row r="23" spans="3:8" x14ac:dyDescent="0.25">
      <c r="C23" t="s">
        <v>21</v>
      </c>
    </row>
    <row r="24" spans="3:8" x14ac:dyDescent="0.25">
      <c r="C24" t="s">
        <v>22</v>
      </c>
    </row>
    <row r="25" spans="3:8" x14ac:dyDescent="0.25">
      <c r="C25" t="s">
        <v>18</v>
      </c>
    </row>
    <row r="26" spans="3:8" x14ac:dyDescent="0.2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H15" sqref="H15"/>
    </sheetView>
  </sheetViews>
  <sheetFormatPr baseColWidth="10" defaultColWidth="11.42578125" defaultRowHeight="15" x14ac:dyDescent="0.25"/>
  <cols>
    <col min="1" max="15" width="11.42578125" style="4" customWidth="1"/>
    <col min="16" max="16384" width="11.42578125" style="4"/>
  </cols>
  <sheetData>
    <row r="1" spans="2:13" ht="15.95" customHeight="1" x14ac:dyDescent="0.25"/>
    <row r="2" spans="2:13" ht="18" customHeight="1" x14ac:dyDescent="0.25">
      <c r="B2" s="7"/>
      <c r="H2" s="8"/>
    </row>
    <row r="3" spans="2:13" ht="15.95" customHeight="1" x14ac:dyDescent="0.25">
      <c r="B3" s="9"/>
      <c r="C3" s="10"/>
    </row>
    <row r="4" spans="2:13" ht="15.95" customHeight="1" x14ac:dyDescent="0.25"/>
    <row r="5" spans="2:13" ht="15.95" customHeight="1" x14ac:dyDescent="0.25"/>
    <row r="6" spans="2:13" ht="15.95" customHeight="1" x14ac:dyDescent="0.25">
      <c r="F6" s="11"/>
    </row>
    <row r="7" spans="2:13" ht="15.95" customHeight="1" x14ac:dyDescent="0.25"/>
    <row r="8" spans="2:13" ht="15.95" customHeight="1" x14ac:dyDescent="0.25"/>
    <row r="9" spans="2:13" ht="15.95" customHeight="1" x14ac:dyDescent="0.25">
      <c r="F9" s="12"/>
    </row>
    <row r="10" spans="2:13" ht="15.95" customHeight="1" x14ac:dyDescent="0.25"/>
    <row r="11" spans="2:13" ht="15.95" customHeight="1" x14ac:dyDescent="0.25"/>
    <row r="12" spans="2:13" ht="15.95" customHeight="1" x14ac:dyDescent="0.25"/>
    <row r="13" spans="2:13" ht="15.95" customHeight="1" x14ac:dyDescent="0.25"/>
    <row r="14" spans="2:13" ht="15.95" customHeight="1" x14ac:dyDescent="0.25"/>
    <row r="15" spans="2:13" ht="15.95" customHeight="1" x14ac:dyDescent="0.25"/>
    <row r="16" spans="2:13" ht="15.95" customHeight="1" x14ac:dyDescent="0.35">
      <c r="H16" s="13"/>
      <c r="I16" s="14"/>
      <c r="J16" s="13"/>
      <c r="K16" s="13"/>
      <c r="L16" s="15"/>
      <c r="M16" s="15"/>
    </row>
    <row r="17" spans="8:11" ht="15.95" customHeight="1" x14ac:dyDescent="0.4">
      <c r="H17" s="13"/>
      <c r="I17" s="13"/>
      <c r="J17" s="13"/>
      <c r="K17" s="16"/>
    </row>
    <row r="18" spans="8:11" ht="15.95" customHeight="1" x14ac:dyDescent="0.25"/>
    <row r="19" spans="8:11" ht="15.95" customHeight="1" x14ac:dyDescent="0.25"/>
    <row r="20" spans="8:11" ht="15.95" customHeight="1" x14ac:dyDescent="0.25"/>
    <row r="21" spans="8:11" ht="15.95" customHeight="1" x14ac:dyDescent="0.25"/>
    <row r="22" spans="8:11" ht="15.95" customHeight="1" x14ac:dyDescent="0.25"/>
    <row r="23" spans="8:11" ht="14.45" customHeight="1" x14ac:dyDescent="0.25"/>
    <row r="24" spans="8:11" ht="14.45" customHeight="1" x14ac:dyDescent="0.25"/>
    <row r="25" spans="8:11" ht="14.45" customHeight="1" x14ac:dyDescent="0.25"/>
    <row r="26" spans="8:11" ht="14.45" customHeight="1" x14ac:dyDescent="0.25"/>
    <row r="27" spans="8:11" ht="14.45" customHeight="1" x14ac:dyDescent="0.25"/>
    <row r="28" spans="8:11" ht="14.45" customHeight="1" x14ac:dyDescent="0.25"/>
    <row r="29" spans="8:11" ht="14.45" customHeight="1" x14ac:dyDescent="0.25"/>
    <row r="30" spans="8:11" ht="14.45" customHeight="1" x14ac:dyDescent="0.25"/>
    <row r="31" spans="8:11" ht="14.45" customHeight="1" x14ac:dyDescent="0.25"/>
    <row r="32" spans="8:11" ht="14.45" customHeight="1" x14ac:dyDescent="0.25"/>
    <row r="33" s="4" customFormat="1" ht="14.45" customHeight="1" x14ac:dyDescent="0.25"/>
    <row r="34" s="4" customFormat="1" ht="14.45" customHeight="1" x14ac:dyDescent="0.25"/>
    <row r="35" s="4" customFormat="1" ht="14.45" customHeight="1" x14ac:dyDescent="0.25"/>
    <row r="36" s="4" customFormat="1" ht="14.45" customHeight="1" x14ac:dyDescent="0.25"/>
    <row r="37" s="4" customFormat="1" ht="14.45" customHeight="1" x14ac:dyDescent="0.25"/>
    <row r="38" s="4" customFormat="1" ht="14.45" customHeight="1" x14ac:dyDescent="0.25"/>
    <row r="39" s="4" customFormat="1" ht="14.45" customHeight="1" x14ac:dyDescent="0.25"/>
    <row r="40" s="4" customFormat="1" ht="14.45" customHeight="1" x14ac:dyDescent="0.25"/>
    <row r="41" s="4" customFormat="1" ht="14.45" customHeight="1" x14ac:dyDescent="0.25"/>
    <row r="42" s="4" customFormat="1" ht="14.45" customHeight="1" x14ac:dyDescent="0.25"/>
    <row r="43" s="4" customFormat="1" ht="14.45" customHeight="1" x14ac:dyDescent="0.25"/>
    <row r="44" s="4" customFormat="1" ht="14.45" customHeight="1" x14ac:dyDescent="0.25"/>
    <row r="45" s="4" customFormat="1" ht="14.45" customHeight="1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BY29"/>
  <sheetViews>
    <sheetView workbookViewId="0">
      <selection activeCell="D5" sqref="D5"/>
    </sheetView>
  </sheetViews>
  <sheetFormatPr baseColWidth="10" defaultRowHeight="15" x14ac:dyDescent="0.25"/>
  <cols>
    <col min="1" max="1" width="18.5703125" customWidth="1"/>
    <col min="2" max="2" width="14" customWidth="1"/>
    <col min="4" max="4" width="80.140625" customWidth="1"/>
  </cols>
  <sheetData>
    <row r="1" spans="1:77" x14ac:dyDescent="0.25">
      <c r="A1" t="s">
        <v>73</v>
      </c>
      <c r="B1" s="2">
        <v>137.7073594</v>
      </c>
      <c r="C1" s="1" t="str">
        <f>ROUND(B1,2) &amp; "$"</f>
        <v>137,71$</v>
      </c>
      <c r="D1" t="s">
        <v>74</v>
      </c>
    </row>
    <row r="2" spans="1:77" x14ac:dyDescent="0.25">
      <c r="A2" t="s">
        <v>157</v>
      </c>
      <c r="C2" s="1"/>
      <c r="D2" t="str">
        <f>"Le prix que nous vous recommandons est "</f>
        <v xml:space="preserve">Le prix que nous vous recommandons est 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x14ac:dyDescent="0.25">
      <c r="A3" t="s">
        <v>153</v>
      </c>
      <c r="B3">
        <v>125.1214274</v>
      </c>
      <c r="C3" s="1"/>
      <c r="D3" t="str">
        <f>"Vous proposez "&amp; B2&amp; " équipements sur 36."</f>
        <v>Vous proposez  équipements sur 36.</v>
      </c>
    </row>
    <row r="4" spans="1:77" x14ac:dyDescent="0.25">
      <c r="A4" t="s">
        <v>154</v>
      </c>
      <c r="B4" s="1">
        <v>151.55930720000001</v>
      </c>
      <c r="C4" s="1"/>
      <c r="D4" t="str">
        <f>"Précisement, le prix qu'on vous recommande est compris entre "&amp;ROUND(B3,2)&amp;" $ et " &amp;ROUND(B4,2)&amp; " $."</f>
        <v>Précisement, le prix qu'on vous recommande est compris entre 125,12 $ et 151,56 $.</v>
      </c>
    </row>
    <row r="5" spans="1:77" x14ac:dyDescent="0.25">
      <c r="A5" t="s">
        <v>155</v>
      </c>
    </row>
    <row r="9" spans="1:77" x14ac:dyDescent="0.25">
      <c r="A9" t="s">
        <v>158</v>
      </c>
      <c r="B9" t="s">
        <v>173</v>
      </c>
    </row>
    <row r="10" spans="1:77" x14ac:dyDescent="0.25">
      <c r="A10" t="s">
        <v>174</v>
      </c>
      <c r="B10">
        <v>117.47</v>
      </c>
      <c r="C10">
        <v>1</v>
      </c>
      <c r="D10" t="s">
        <v>59</v>
      </c>
    </row>
    <row r="11" spans="1:77" x14ac:dyDescent="0.25">
      <c r="A11" t="s">
        <v>159</v>
      </c>
      <c r="B11">
        <v>144.34</v>
      </c>
      <c r="C11">
        <v>2</v>
      </c>
      <c r="D11" t="s">
        <v>52</v>
      </c>
    </row>
    <row r="12" spans="1:77" x14ac:dyDescent="0.25">
      <c r="A12" t="s">
        <v>160</v>
      </c>
      <c r="B12">
        <v>144.83000000000001</v>
      </c>
      <c r="C12">
        <v>3</v>
      </c>
      <c r="D12" t="s">
        <v>58</v>
      </c>
    </row>
    <row r="13" spans="1:77" x14ac:dyDescent="0.25">
      <c r="A13" t="s">
        <v>161</v>
      </c>
      <c r="B13">
        <v>146.87</v>
      </c>
      <c r="C13">
        <v>4</v>
      </c>
      <c r="D13" t="s">
        <v>57</v>
      </c>
    </row>
    <row r="14" spans="1:77" x14ac:dyDescent="0.25">
      <c r="A14" t="s">
        <v>162</v>
      </c>
      <c r="B14">
        <v>157.12</v>
      </c>
      <c r="C14">
        <v>5</v>
      </c>
      <c r="D14" t="s">
        <v>51</v>
      </c>
    </row>
    <row r="15" spans="1:77" x14ac:dyDescent="0.25">
      <c r="A15" t="s">
        <v>163</v>
      </c>
      <c r="B15">
        <v>161.11000000000001</v>
      </c>
      <c r="C15">
        <v>6</v>
      </c>
      <c r="D15" t="s">
        <v>53</v>
      </c>
    </row>
    <row r="16" spans="1:77" x14ac:dyDescent="0.25">
      <c r="A16" t="s">
        <v>164</v>
      </c>
      <c r="B16">
        <v>161.86000000000001</v>
      </c>
      <c r="C16">
        <v>7</v>
      </c>
      <c r="D16" t="s">
        <v>50</v>
      </c>
    </row>
    <row r="17" spans="1:4" x14ac:dyDescent="0.25">
      <c r="A17" t="s">
        <v>175</v>
      </c>
      <c r="B17">
        <v>176.91</v>
      </c>
      <c r="C17">
        <v>8</v>
      </c>
      <c r="D17" t="s">
        <v>49</v>
      </c>
    </row>
    <row r="18" spans="1:4" x14ac:dyDescent="0.25">
      <c r="A18" t="s">
        <v>165</v>
      </c>
      <c r="B18">
        <v>189.88</v>
      </c>
      <c r="C18">
        <v>9</v>
      </c>
      <c r="D18" t="s">
        <v>56</v>
      </c>
    </row>
    <row r="19" spans="1:4" x14ac:dyDescent="0.25">
      <c r="A19" t="s">
        <v>166</v>
      </c>
      <c r="B19">
        <v>193.56</v>
      </c>
      <c r="C19">
        <v>10</v>
      </c>
      <c r="D19" t="s">
        <v>54</v>
      </c>
    </row>
    <row r="20" spans="1:4" x14ac:dyDescent="0.25">
      <c r="A20" t="s">
        <v>176</v>
      </c>
      <c r="B20">
        <v>217.51</v>
      </c>
      <c r="C20">
        <v>11</v>
      </c>
      <c r="D20" t="s">
        <v>44</v>
      </c>
    </row>
    <row r="21" spans="1:4" x14ac:dyDescent="0.25">
      <c r="A21" t="s">
        <v>177</v>
      </c>
      <c r="B21">
        <v>225.44</v>
      </c>
      <c r="C21">
        <v>12</v>
      </c>
      <c r="D21" t="s">
        <v>48</v>
      </c>
    </row>
    <row r="22" spans="1:4" x14ac:dyDescent="0.25">
      <c r="A22" t="s">
        <v>167</v>
      </c>
      <c r="B22">
        <v>238.51</v>
      </c>
      <c r="C22">
        <v>13</v>
      </c>
      <c r="D22" t="s">
        <v>42</v>
      </c>
    </row>
    <row r="23" spans="1:4" x14ac:dyDescent="0.25">
      <c r="A23" t="s">
        <v>178</v>
      </c>
      <c r="B23">
        <v>245.51</v>
      </c>
      <c r="C23">
        <v>14</v>
      </c>
      <c r="D23" t="s">
        <v>43</v>
      </c>
    </row>
    <row r="24" spans="1:4" x14ac:dyDescent="0.25">
      <c r="A24" t="s">
        <v>168</v>
      </c>
      <c r="B24">
        <v>260.45</v>
      </c>
      <c r="C24">
        <v>15</v>
      </c>
      <c r="D24" t="s">
        <v>40</v>
      </c>
    </row>
    <row r="25" spans="1:4" x14ac:dyDescent="0.25">
      <c r="A25" t="s">
        <v>169</v>
      </c>
      <c r="B25">
        <v>303.33</v>
      </c>
      <c r="C25">
        <v>16</v>
      </c>
      <c r="D25" t="s">
        <v>45</v>
      </c>
    </row>
    <row r="26" spans="1:4" x14ac:dyDescent="0.25">
      <c r="A26" t="s">
        <v>170</v>
      </c>
      <c r="B26">
        <v>316.79000000000002</v>
      </c>
      <c r="C26">
        <v>17</v>
      </c>
      <c r="D26" t="s">
        <v>55</v>
      </c>
    </row>
    <row r="27" spans="1:4" x14ac:dyDescent="0.25">
      <c r="A27" t="s">
        <v>41</v>
      </c>
      <c r="B27">
        <v>330.21</v>
      </c>
      <c r="C27">
        <v>18</v>
      </c>
      <c r="D27" t="s">
        <v>41</v>
      </c>
    </row>
    <row r="28" spans="1:4" x14ac:dyDescent="0.25">
      <c r="A28" t="s">
        <v>172</v>
      </c>
      <c r="B28">
        <v>339.24</v>
      </c>
      <c r="C28">
        <v>19</v>
      </c>
      <c r="D28" t="s">
        <v>46</v>
      </c>
    </row>
    <row r="29" spans="1:4" x14ac:dyDescent="0.25">
      <c r="A29" t="s">
        <v>179</v>
      </c>
      <c r="B29">
        <v>397.29</v>
      </c>
      <c r="C29">
        <v>20</v>
      </c>
      <c r="D29" t="s">
        <v>47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2023-12-13T10:07:06Z</dcterms:modified>
</cp:coreProperties>
</file>