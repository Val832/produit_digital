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AD4F0B11-3577-493A-90E1-2197A6A2ACF8}" xr6:coauthVersionLast="47" xr6:coauthVersionMax="47" xr10:uidLastSave="{00000000-0000-0000-0000-000000000000}"/>
  <bookViews>
    <workbookView xWindow="-120" yWindow="-120" windowWidth="29040" windowHeight="16440" xr2:uid="{D0BD4728-227B-4C76-9119-CEA83803AF99}"/>
  </bookViews>
  <sheets>
    <sheet name="Bienvenue" sheetId="5" r:id="rId1"/>
    <sheet name="empty" sheetId="6" state="hidden" r:id="rId2"/>
    <sheet name="Data" sheetId="4" state="hidden" r:id="rId3"/>
    <sheet name="DataClean" sheetId="8" state="hidden" r:id="rId4"/>
    <sheet name="tableauFormulaire " sheetId="3" state="hidden" r:id="rId5"/>
    <sheet name="Estimation" sheetId="1" state="hidden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4" i="7"/>
  <c r="E23" i="7"/>
  <c r="E25" i="7"/>
  <c r="B5" i="7"/>
  <c r="E27" i="7"/>
  <c r="E30" i="7"/>
  <c r="E11" i="7"/>
  <c r="E29" i="7"/>
  <c r="E28" i="7"/>
  <c r="E26" i="7"/>
  <c r="E24" i="7"/>
  <c r="E22" i="7"/>
  <c r="E21" i="7"/>
  <c r="E20" i="7"/>
  <c r="E19" i="7"/>
  <c r="E18" i="7"/>
  <c r="E17" i="7"/>
  <c r="E16" i="7"/>
  <c r="E15" i="7"/>
  <c r="E14" i="7"/>
  <c r="E13" i="7"/>
  <c r="E12" i="7"/>
  <c r="U2" i="8"/>
  <c r="AT2" i="8"/>
  <c r="AS2" i="4"/>
  <c r="AR2" i="4"/>
  <c r="AP2" i="4"/>
  <c r="AP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B2" i="8" s="1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P2" i="8" s="1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I9" i="7" l="1"/>
  <c r="J9" i="7" s="1"/>
  <c r="AO2" i="4"/>
  <c r="AO2" i="8" s="1"/>
  <c r="AJ2" i="8"/>
  <c r="AH2" i="8"/>
  <c r="AF2" i="8"/>
  <c r="AL2" i="8"/>
  <c r="AD2" i="8"/>
  <c r="AE2" i="8"/>
  <c r="AC2" i="8"/>
  <c r="AK2" i="8"/>
  <c r="AI2" i="8"/>
  <c r="AG2" i="8"/>
  <c r="B5" i="4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</calcChain>
</file>

<file path=xl/sharedStrings.xml><?xml version="1.0" encoding="utf-8"?>
<sst xmlns="http://schemas.openxmlformats.org/spreadsheetml/2006/main" count="330" uniqueCount="209">
  <si>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</si>
  <si>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</si>
  <si>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</si>
  <si>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</si>
  <si>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</si>
  <si>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</si>
  <si>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</si>
  <si>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</si>
  <si>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</si>
  <si>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</si>
  <si>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</si>
  <si>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</si>
  <si>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</si>
  <si>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</si>
  <si>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</si>
  <si>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</si>
  <si>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</si>
  <si>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</si>
  <si>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</si>
  <si>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</si>
  <si>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</si>
  <si>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</si>
  <si>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</si>
  <si>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</si>
  <si>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</si>
  <si>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</si>
  <si>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</si>
  <si>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</si>
  <si>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</si>
  <si>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</si>
  <si>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</si>
  <si>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</si>
  <si>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</si>
  <si>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</si>
  <si>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</si>
  <si>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</si>
  <si>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</si>
  <si>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</si>
  <si>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</si>
  <si>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</si>
  <si>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</si>
  <si>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</si>
  <si>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</si>
  <si>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</si>
  <si>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</si>
  <si>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</si>
  <si>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</si>
  <si>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</si>
  <si>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</si>
  <si>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</si>
  <si>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</si>
  <si>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</si>
  <si>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</si>
  <si>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</si>
  <si>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</si>
  <si>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</si>
  <si>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</si>
  <si>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</si>
  <si>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</si>
  <si>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</si>
  <si>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</si>
  <si>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</si>
  <si>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</si>
  <si>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</si>
  <si>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</si>
  <si>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</si>
  <si>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</si>
  <si>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</si>
  <si>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</si>
  <si>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</si>
  <si>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</si>
  <si>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</si>
  <si>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</si>
  <si>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</si>
  <si>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</si>
  <si>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</si>
  <si>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</si>
  <si>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</si>
  <si>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</si>
  <si>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</si>
  <si>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</si>
  <si>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</si>
  <si>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</si>
  <si>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</si>
  <si>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</si>
  <si>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</si>
  <si>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</si>
  <si>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</si>
  <si>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</si>
  <si>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</si>
  <si>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</si>
  <si>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</si>
  <si>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</si>
  <si>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</si>
  <si>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</si>
  <si>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</si>
  <si>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</si>
  <si>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</si>
  <si>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</si>
  <si>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</si>
  <si>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</si>
  <si>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</si>
  <si>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</si>
  <si>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</si>
  <si>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</si>
  <si>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</si>
  <si>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</si>
  <si>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</si>
  <si>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</si>
  <si>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</si>
  <si>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</si>
  <si>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</si>
  <si>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</si>
  <si>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</si>
  <si>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</si>
  <si>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</si>
  <si>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</si>
  <si>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</si>
  <si>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</si>
  <si>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</si>
  <si>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</si>
  <si>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</si>
  <si>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</si>
  <si>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</si>
  <si>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</si>
  <si>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</si>
  <si>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</si>
  <si>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</si>
  <si>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</si>
  <si>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</si>
  <si>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</si>
  <si>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</si>
  <si>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</si>
  <si>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</si>
  <si>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</si>
  <si>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</si>
  <si>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</si>
  <si>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</si>
  <si>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</si>
  <si>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</si>
  <si>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</si>
  <si>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</si>
  <si>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</si>
  <si>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</si>
  <si>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</si>
  <si>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</si>
  <si>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</si>
  <si>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</si>
  <si>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</si>
  <si>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</si>
  <si>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</si>
  <si>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</si>
  <si>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</si>
  <si>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</si>
  <si>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</si>
  <si>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</si>
  <si>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</si>
  <si>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</si>
  <si>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</si>
  <si>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</si>
  <si>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</si>
  <si>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</si>
  <si>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</si>
  <si>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</si>
  <si>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</si>
  <si>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</si>
  <si>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</si>
  <si>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</si>
  <si>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</si>
  <si>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</si>
  <si>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</si>
  <si>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</si>
  <si>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</si>
  <si>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</si>
  <si>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</si>
  <si>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</si>
  <si>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</si>
  <si>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</si>
  <si>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</si>
  <si>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count Ameneties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</si>
  <si>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</si>
  <si>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</si>
  <si>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</si>
  <si>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</si>
  <si>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</si>
  <si>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</si>
  <si>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</si>
  <si>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</si>
  <si>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</si>
  <si>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</si>
  <si>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</si>
  <si>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</si>
  <si>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</si>
  <si>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</si>
  <si>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</si>
  <si>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</si>
  <si>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</si>
  <si>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</si>
  <si>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</si>
  <si>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</si>
  <si>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</si>
  <si>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</si>
  <si>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</si>
  <si>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</si>
  <si>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</si>
  <si>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</si>
  <si>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</si>
  <si>
    <t>3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</si>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</sst>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157,68$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313419</xdr:colOff>
      <xdr:row>10</xdr:row>
      <xdr:rowOff>40684</xdr:rowOff>
    </xdr:from>
    <xdr:to>
      <xdr:col>4</xdr:col>
      <xdr:colOff>53975</xdr:colOff>
      <xdr:row>15</xdr:row>
      <xdr:rowOff>6350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3419" y="2098084"/>
          <a:ext cx="2788556" cy="9816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135,94 $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182,89 $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9</xdr:row>
      <xdr:rowOff>186071</xdr:rowOff>
    </xdr:from>
    <xdr:to>
      <xdr:col>8</xdr:col>
      <xdr:colOff>530225</xdr:colOff>
      <xdr:row>15</xdr:row>
      <xdr:rowOff>63500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292021" y="2040271"/>
          <a:ext cx="3334204" cy="109662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60326</xdr:rowOff>
    </xdr:from>
    <xdr:to>
      <xdr:col>8</xdr:col>
      <xdr:colOff>346074</xdr:colOff>
      <xdr:row>13</xdr:row>
      <xdr:rowOff>22652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297463" y="2320926"/>
          <a:ext cx="31446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Len moyenne, une nuit dans un Airbnb dans le  3eme arrondissement vaut : 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678688</xdr:colOff>
      <xdr:row>13</xdr:row>
      <xdr:rowOff>35658</xdr:rowOff>
    </xdr:from>
    <xdr:to>
      <xdr:col>3</xdr:col>
      <xdr:colOff>279683</xdr:colOff>
      <xdr:row>15</xdr:row>
      <xdr:rowOff>8735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88" y="2702658"/>
          <a:ext cx="362995" cy="379477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158750</xdr:rowOff>
    </xdr:from>
    <xdr:to>
      <xdr:col>13</xdr:col>
      <xdr:colOff>492125</xdr:colOff>
      <xdr:row>18</xdr:row>
      <xdr:rowOff>193676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6835775" y="590550"/>
          <a:ext cx="3562350" cy="3286126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248593</xdr:colOff>
      <xdr:row>6</xdr:row>
      <xdr:rowOff>142874</xdr:rowOff>
    </xdr:from>
    <xdr:to>
      <xdr:col>13</xdr:col>
      <xdr:colOff>419100</xdr:colOff>
      <xdr:row>18</xdr:row>
      <xdr:rowOff>86474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106593" y="1387474"/>
          <a:ext cx="32185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340357</xdr:colOff>
      <xdr:row>13</xdr:row>
      <xdr:rowOff>36168</xdr:rowOff>
    </xdr:from>
    <xdr:to>
      <xdr:col>3</xdr:col>
      <xdr:colOff>727076</xdr:colOff>
      <xdr:row>15</xdr:row>
      <xdr:rowOff>36221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6357" y="2703168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146050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45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8CAD6-061D-4319-9870-82CA3ECF5964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/>
            <a:t>Vous avez selectionné 2 équipements sur 36 proposés.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83359</xdr:rowOff>
    </xdr:from>
    <xdr:to>
      <xdr:col>8</xdr:col>
      <xdr:colOff>365125</xdr:colOff>
      <xdr:row>15</xdr:row>
      <xdr:rowOff>85420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0539" y="2547159"/>
          <a:ext cx="610586" cy="611661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35794</xdr:rowOff>
    </xdr:from>
    <xdr:to>
      <xdr:col>7</xdr:col>
      <xdr:colOff>174625</xdr:colOff>
      <xdr:row>14</xdr:row>
      <xdr:rowOff>180975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305267" y="2702794"/>
          <a:ext cx="12033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238,51 $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tabSelected="1" zoomScaleNormal="100" workbookViewId="0">
      <selection activeCell="F21" sqref="F21"/>
    </sheetView>
  </sheetViews>
  <sheetFormatPr baseColWidth="10" defaultColWidth="11.42578125" defaultRowHeight="15" x14ac:dyDescent="0.25"/>
  <cols>
    <col min="1" max="2" width="11.42578125" style="3"/>
    <col min="3" max="3" width="4.7109375" style="3" customWidth="1"/>
    <col min="4" max="4" width="61.85546875" style="3" customWidth="1"/>
    <col min="5" max="5" width="4.7109375" style="3" customWidth="1"/>
    <col min="6" max="16384" width="11.42578125" style="3"/>
  </cols>
  <sheetData>
    <row r="5" spans="4:4" ht="18" x14ac:dyDescent="0.25">
      <c r="D5" s="2"/>
    </row>
    <row r="7" spans="4:4" ht="18" x14ac:dyDescent="0.25">
      <c r="D7" s="4"/>
    </row>
    <row r="9" spans="4:4" ht="18" x14ac:dyDescent="0.2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D2" sqref="D2"/>
    </sheetView>
  </sheetViews>
  <sheetFormatPr baseColWidth="10" defaultRowHeight="15" x14ac:dyDescent="0.25"/>
  <sheetData>
    <row r="1" spans="1:3" x14ac:dyDescent="0.25">
      <c r="A1" t="s">
        <v>132</v>
      </c>
      <c r="B1" t="s">
        <v>133</v>
      </c>
      <c r="C1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zoomScaleNormal="100" workbookViewId="0">
      <selection activeCell="A5" sqref="A5"/>
    </sheetView>
  </sheetViews>
  <sheetFormatPr baseColWidth="10" defaultRowHeight="15" x14ac:dyDescent="0.25"/>
  <cols>
    <col min="1" max="1" width="17" customWidth="1"/>
    <col min="2" max="12" width="15.28515625" customWidth="1"/>
    <col min="77" max="77" width="11.7109375" customWidth="1"/>
  </cols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B2" s="1" t="s">
        <v>208</v>
      </c>
      <c r="C2" s="1" t="s">
        <v>207</v>
      </c>
      <c r="D2" s="1" t="s">
        <v>207</v>
      </c>
      <c r="E2" s="16">
        <f>IF(E3=FALSE,0,1)</f>
        <v>0</v>
      </c>
      <c r="F2" s="16">
        <f>IF(F3=FALSE,0,1)</f>
        <v>0</v>
      </c>
      <c r="G2" s="16">
        <f t="shared" ref="G2:H2" si="0">IF(G3=FALSE,0,1)</f>
        <v>0</v>
      </c>
      <c r="H2" s="16">
        <f t="shared" si="0"/>
        <v>0</v>
      </c>
      <c r="I2" s="16">
        <f t="shared" ref="I2" si="1">IF(I3=FALSE,0,1)</f>
        <v>0</v>
      </c>
      <c r="J2" s="16">
        <f t="shared" ref="J2" si="2">IF(J3=FALSE,0,1)</f>
        <v>0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0</v>
      </c>
      <c r="P2" s="16">
        <f t="shared" ref="P2" si="8">IF(P3=FALSE,0,1)</f>
        <v>0</v>
      </c>
      <c r="Q2" s="16">
        <f t="shared" ref="Q2" si="9">IF(Q3=FALSE,0,1)</f>
        <v>0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0</v>
      </c>
      <c r="W2" s="16">
        <f t="shared" ref="W2" si="15">IF(W3=FALSE,0,1)</f>
        <v>0</v>
      </c>
      <c r="X2" s="16">
        <f t="shared" ref="X2" si="16">IF(X3=FALSE,0,1)</f>
        <v>0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4</v>
      </c>
      <c r="AQ2" s="16">
        <v>16</v>
      </c>
      <c r="AR2" s="16">
        <f>Tableau4[[#This Row],[bathrooms]]^2</f>
        <v>9</v>
      </c>
      <c r="AS2" s="16">
        <f>Tableau4[[#This Row],[beds]]^2</f>
        <v>9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1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1</v>
      </c>
    </row>
    <row r="3" spans="1:77" x14ac:dyDescent="0.25">
      <c r="B3" s="1"/>
      <c r="C3" s="1"/>
      <c r="D3" s="1"/>
      <c r="E3" s="1" t="b">
        <v>0</v>
      </c>
      <c r="F3" s="1" t="b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0</v>
      </c>
      <c r="W3" s="1" t="b">
        <v>0</v>
      </c>
      <c r="X3" s="1" t="b">
        <v>0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0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25">
      <c r="A5" t="s">
        <v>179</v>
      </c>
      <c r="B5" s="16">
        <f>SUM(E2:T2)+SUM(V2:AD2)+SUM(AI2:AN2)+AG2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F4" sqref="F4"/>
    </sheetView>
  </sheetViews>
  <sheetFormatPr baseColWidth="10" defaultRowHeight="15" x14ac:dyDescent="0.25"/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A2">
        <v>1</v>
      </c>
      <c r="B2" t="str">
        <f>Data!B2</f>
        <v>2</v>
      </c>
      <c r="C2" t="str">
        <f>Data!C2</f>
        <v>3</v>
      </c>
      <c r="D2" t="str">
        <f>Data!D2</f>
        <v>3</v>
      </c>
      <c r="E2" s="1">
        <f>Data!E2</f>
        <v>0</v>
      </c>
      <c r="F2" s="1">
        <f>Data!F2</f>
        <v>0</v>
      </c>
      <c r="G2" s="1">
        <f>Data!G2</f>
        <v>0</v>
      </c>
      <c r="H2" s="1">
        <f>Data!H2</f>
        <v>0</v>
      </c>
      <c r="I2" s="1">
        <f>Data!I2</f>
        <v>0</v>
      </c>
      <c r="J2" s="1">
        <f>Data!J2</f>
        <v>0</v>
      </c>
      <c r="K2" s="1">
        <f>Data!K2</f>
        <v>0</v>
      </c>
      <c r="L2" s="1">
        <f>Data!L2</f>
        <v>0</v>
      </c>
      <c r="M2" s="1">
        <f>Data!M2</f>
        <v>0</v>
      </c>
      <c r="N2" s="1">
        <f>Data!N2</f>
        <v>0</v>
      </c>
      <c r="O2" s="1">
        <f>Data!O2</f>
        <v>0</v>
      </c>
      <c r="P2" s="1">
        <f>Data!P2</f>
        <v>0</v>
      </c>
      <c r="Q2" s="1">
        <f>Data!Q2</f>
        <v>0</v>
      </c>
      <c r="R2" s="1">
        <f>Data!R2</f>
        <v>0</v>
      </c>
      <c r="S2" s="1">
        <f>Data!S2</f>
        <v>0</v>
      </c>
      <c r="T2" s="1">
        <f>Data!T2</f>
        <v>0</v>
      </c>
      <c r="U2" s="1">
        <f>Data!U2</f>
        <v>1</v>
      </c>
      <c r="V2" s="1">
        <f>Data!V2</f>
        <v>0</v>
      </c>
      <c r="W2" s="1">
        <f>Data!W2</f>
        <v>0</v>
      </c>
      <c r="X2" s="1">
        <f>Data!X2</f>
        <v>0</v>
      </c>
      <c r="Y2" s="1">
        <f>Data!Y2</f>
        <v>0</v>
      </c>
      <c r="Z2" s="1">
        <f>Data!Z2</f>
        <v>0</v>
      </c>
      <c r="AA2" s="1">
        <f>Data!AA2</f>
        <v>0</v>
      </c>
      <c r="AB2" s="1">
        <f>Data!AB2</f>
        <v>0</v>
      </c>
      <c r="AC2" s="1">
        <f>Data!AC2</f>
        <v>0</v>
      </c>
      <c r="AD2" s="1">
        <f>Data!AD2</f>
        <v>0</v>
      </c>
      <c r="AE2" s="1">
        <f>Data!AE2</f>
        <v>0</v>
      </c>
      <c r="AF2" s="1">
        <f>Data!AF2</f>
        <v>0</v>
      </c>
      <c r="AG2" s="1">
        <f>Data!AG2</f>
        <v>0</v>
      </c>
      <c r="AH2" s="1">
        <f>Data!AH2</f>
        <v>0</v>
      </c>
      <c r="AI2" s="1">
        <f>Data!AI2</f>
        <v>0</v>
      </c>
      <c r="AJ2" s="1">
        <f>Data!AJ2</f>
        <v>0</v>
      </c>
      <c r="AK2" s="1">
        <f>Data!AK2</f>
        <v>0</v>
      </c>
      <c r="AL2" s="1">
        <f>Data!AL2</f>
        <v>0</v>
      </c>
      <c r="AM2" s="1">
        <f>Data!AM2</f>
        <v>0</v>
      </c>
      <c r="AN2" s="1">
        <f>Data!AN2</f>
        <v>0</v>
      </c>
      <c r="AO2" s="1">
        <f>Data!AO2</f>
        <v>0</v>
      </c>
      <c r="AP2" s="1">
        <f>Data!AP2</f>
        <v>4</v>
      </c>
      <c r="AQ2">
        <f>Data!AQ2</f>
        <v>16</v>
      </c>
      <c r="AR2">
        <f>Data!AR2</f>
        <v>9</v>
      </c>
      <c r="AS2">
        <f>Data!AS2</f>
        <v>9</v>
      </c>
      <c r="AT2" s="1">
        <f>Data!AT2</f>
        <v>0</v>
      </c>
      <c r="AU2">
        <f>Data!AU2</f>
        <v>0</v>
      </c>
      <c r="AV2">
        <f>Data!AV2</f>
        <v>0</v>
      </c>
      <c r="AW2">
        <f>Data!AW2</f>
        <v>0</v>
      </c>
      <c r="AX2">
        <f>Data!AX2</f>
        <v>0</v>
      </c>
      <c r="AY2">
        <f>Data!AY2</f>
        <v>0</v>
      </c>
      <c r="AZ2">
        <f>Data!AZ2</f>
        <v>0</v>
      </c>
      <c r="BA2">
        <f>Data!BA2</f>
        <v>0</v>
      </c>
      <c r="BB2">
        <f>Data!BB2</f>
        <v>0</v>
      </c>
      <c r="BC2">
        <f>Data!BC2</f>
        <v>0</v>
      </c>
      <c r="BD2">
        <f>Data!BD2</f>
        <v>0</v>
      </c>
      <c r="BE2">
        <f>Data!BE2</f>
        <v>0</v>
      </c>
      <c r="BF2">
        <f>Data!BF2</f>
        <v>0</v>
      </c>
      <c r="BG2">
        <f>Data!BG2</f>
        <v>0</v>
      </c>
      <c r="BH2">
        <f>Data!BH2</f>
        <v>0</v>
      </c>
      <c r="BI2">
        <f>Data!BI2</f>
        <v>0</v>
      </c>
      <c r="BJ2">
        <f>Data!BJ2</f>
        <v>0</v>
      </c>
      <c r="BK2">
        <f>Data!BK2</f>
        <v>1</v>
      </c>
      <c r="BL2">
        <f>Data!BL2</f>
        <v>0</v>
      </c>
      <c r="BM2">
        <f>Data!BM2</f>
        <v>0</v>
      </c>
      <c r="BN2">
        <f>Data!BN2</f>
        <v>0</v>
      </c>
      <c r="BO2">
        <f>Data!BO2</f>
        <v>0</v>
      </c>
      <c r="BP2">
        <f>Data!BP2</f>
        <v>0</v>
      </c>
      <c r="BQ2">
        <f>Data!BQ2</f>
        <v>0</v>
      </c>
      <c r="BR2">
        <f>Data!BR2</f>
        <v>0</v>
      </c>
      <c r="BS2">
        <f>Data!BS2</f>
        <v>0</v>
      </c>
      <c r="BT2">
        <f>Data!BT2</f>
        <v>0</v>
      </c>
      <c r="BU2">
        <f>Data!BU2</f>
        <v>0</v>
      </c>
      <c r="BV2">
        <f>Data!BV2</f>
        <v>0</v>
      </c>
      <c r="BW2">
        <f>Data!BW2</f>
        <v>0</v>
      </c>
      <c r="BX2">
        <f>Data!BX2</f>
        <v>0</v>
      </c>
      <c r="BY2">
        <f>Data!BY2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B1" zoomScaleNormal="100" workbookViewId="0">
      <selection activeCell="H2" sqref="H2"/>
    </sheetView>
  </sheetViews>
  <sheetFormatPr baseColWidth="10" defaultRowHeight="15" x14ac:dyDescent="0.2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8" max="8" width="23.140625" customWidth="1"/>
    <col min="9" max="9" width="1.5703125" customWidth="1"/>
    <col min="10" max="10" width="10.85546875" hidden="1" customWidth="1"/>
    <col min="11" max="11" width="54.140625" customWidth="1"/>
  </cols>
  <sheetData>
    <row r="1" spans="1:8" x14ac:dyDescent="0.2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2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2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2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2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2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2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2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2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2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2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2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25">
      <c r="C13" t="s">
        <v>17</v>
      </c>
      <c r="E13" t="s">
        <v>52</v>
      </c>
      <c r="G13" t="s">
        <v>171</v>
      </c>
      <c r="H13" t="s">
        <v>142</v>
      </c>
    </row>
    <row r="14" spans="1:8" x14ac:dyDescent="0.25">
      <c r="C14" t="s">
        <v>33</v>
      </c>
      <c r="G14" t="s">
        <v>172</v>
      </c>
      <c r="H14" t="s">
        <v>139</v>
      </c>
    </row>
    <row r="15" spans="1:8" x14ac:dyDescent="0.25">
      <c r="C15" t="s">
        <v>23</v>
      </c>
      <c r="G15" t="s">
        <v>173</v>
      </c>
      <c r="H15" t="s">
        <v>143</v>
      </c>
    </row>
    <row r="16" spans="1:8" x14ac:dyDescent="0.25">
      <c r="C16" t="s">
        <v>34</v>
      </c>
      <c r="G16" t="s">
        <v>174</v>
      </c>
      <c r="H16" t="s">
        <v>146</v>
      </c>
    </row>
    <row r="17" spans="3:8" x14ac:dyDescent="0.25">
      <c r="C17" t="s">
        <v>24</v>
      </c>
      <c r="G17" t="s">
        <v>175</v>
      </c>
      <c r="H17" t="s">
        <v>150</v>
      </c>
    </row>
    <row r="18" spans="3:8" x14ac:dyDescent="0.25">
      <c r="C18" t="s">
        <v>16</v>
      </c>
      <c r="G18" t="s">
        <v>176</v>
      </c>
      <c r="H18" t="s">
        <v>145</v>
      </c>
    </row>
    <row r="19" spans="3:8" x14ac:dyDescent="0.25">
      <c r="C19" t="s">
        <v>1</v>
      </c>
      <c r="G19" t="s">
        <v>177</v>
      </c>
      <c r="H19" t="s">
        <v>141</v>
      </c>
    </row>
    <row r="20" spans="3:8" x14ac:dyDescent="0.25">
      <c r="C20" t="s">
        <v>35</v>
      </c>
      <c r="G20" t="s">
        <v>178</v>
      </c>
      <c r="H20" t="s">
        <v>140</v>
      </c>
    </row>
    <row r="21" spans="3:8" x14ac:dyDescent="0.25">
      <c r="C21" t="s">
        <v>36</v>
      </c>
      <c r="G21" t="s">
        <v>136</v>
      </c>
      <c r="H21" t="s">
        <v>154</v>
      </c>
    </row>
    <row r="22" spans="3:8" x14ac:dyDescent="0.25">
      <c r="C22" t="s">
        <v>25</v>
      </c>
    </row>
    <row r="23" spans="3:8" x14ac:dyDescent="0.25">
      <c r="C23" t="s">
        <v>21</v>
      </c>
    </row>
    <row r="24" spans="3:8" x14ac:dyDescent="0.25">
      <c r="C24" t="s">
        <v>22</v>
      </c>
    </row>
    <row r="25" spans="3:8" x14ac:dyDescent="0.25">
      <c r="C25" t="s">
        <v>18</v>
      </c>
    </row>
    <row r="26" spans="3:8" x14ac:dyDescent="0.2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Normal="100" workbookViewId="0">
      <selection activeCell="D18" sqref="D18"/>
    </sheetView>
  </sheetViews>
  <sheetFormatPr baseColWidth="10" defaultColWidth="11.42578125" defaultRowHeight="15" x14ac:dyDescent="0.25"/>
  <cols>
    <col min="1" max="15" width="11.42578125" style="3" customWidth="1"/>
    <col min="16" max="16384" width="11.42578125" style="3"/>
  </cols>
  <sheetData>
    <row r="1" spans="2:13" ht="15.95" customHeight="1" x14ac:dyDescent="0.25"/>
    <row r="2" spans="2:13" ht="18" customHeight="1" x14ac:dyDescent="0.25">
      <c r="B2" s="6"/>
      <c r="H2" s="7"/>
    </row>
    <row r="3" spans="2:13" ht="15.95" customHeight="1" x14ac:dyDescent="0.25">
      <c r="B3" s="8"/>
      <c r="C3" s="9"/>
    </row>
    <row r="4" spans="2:13" ht="15.95" customHeight="1" x14ac:dyDescent="0.25"/>
    <row r="5" spans="2:13" ht="15.95" customHeight="1" x14ac:dyDescent="0.25"/>
    <row r="6" spans="2:13" ht="15.95" customHeight="1" x14ac:dyDescent="0.25">
      <c r="F6" s="10"/>
    </row>
    <row r="7" spans="2:13" ht="15.95" customHeight="1" x14ac:dyDescent="0.25"/>
    <row r="8" spans="2:13" ht="15.95" customHeight="1" x14ac:dyDescent="0.25"/>
    <row r="9" spans="2:13" ht="15.95" customHeight="1" x14ac:dyDescent="0.25">
      <c r="F9" s="11"/>
    </row>
    <row r="10" spans="2:13" ht="15.95" customHeight="1" x14ac:dyDescent="0.25"/>
    <row r="11" spans="2:13" ht="15.95" customHeight="1" x14ac:dyDescent="0.25"/>
    <row r="12" spans="2:13" ht="15.95" customHeight="1" x14ac:dyDescent="0.25"/>
    <row r="13" spans="2:13" ht="15.95" customHeight="1" x14ac:dyDescent="0.25"/>
    <row r="14" spans="2:13" ht="15.95" customHeight="1" x14ac:dyDescent="0.25"/>
    <row r="15" spans="2:13" ht="15.95" customHeight="1" x14ac:dyDescent="0.25"/>
    <row r="16" spans="2:13" ht="15.95" customHeight="1" x14ac:dyDescent="0.35">
      <c r="H16" s="12"/>
      <c r="I16" s="13"/>
      <c r="J16" s="12"/>
      <c r="K16" s="12"/>
      <c r="L16" s="14"/>
      <c r="M16" s="14"/>
    </row>
    <row r="17" spans="8:11" ht="15.95" customHeight="1" x14ac:dyDescent="0.4">
      <c r="H17" s="12"/>
      <c r="I17" s="12"/>
      <c r="J17" s="12"/>
      <c r="K17" s="15"/>
    </row>
    <row r="18" spans="8:11" ht="15.95" customHeight="1" x14ac:dyDescent="0.25"/>
    <row r="19" spans="8:11" ht="15.95" customHeight="1" x14ac:dyDescent="0.25"/>
    <row r="20" spans="8:11" ht="15.95" customHeight="1" x14ac:dyDescent="0.25"/>
    <row r="21" spans="8:11" ht="15.95" customHeight="1" x14ac:dyDescent="0.25"/>
    <row r="22" spans="8:11" ht="15.95" customHeight="1" x14ac:dyDescent="0.25"/>
    <row r="23" spans="8:11" ht="14.45" customHeight="1" x14ac:dyDescent="0.25"/>
    <row r="24" spans="8:11" ht="14.45" customHeight="1" x14ac:dyDescent="0.25"/>
    <row r="25" spans="8:11" ht="14.45" customHeight="1" x14ac:dyDescent="0.25"/>
    <row r="26" spans="8:11" ht="14.45" customHeight="1" x14ac:dyDescent="0.25"/>
    <row r="27" spans="8:11" ht="14.45" customHeight="1" x14ac:dyDescent="0.25"/>
    <row r="28" spans="8:11" ht="14.45" customHeight="1" x14ac:dyDescent="0.25"/>
    <row r="29" spans="8:11" ht="14.45" customHeight="1" x14ac:dyDescent="0.25"/>
    <row r="30" spans="8:11" ht="14.45" customHeight="1" x14ac:dyDescent="0.25"/>
    <row r="31" spans="8:11" ht="14.45" customHeight="1" x14ac:dyDescent="0.25"/>
    <row r="32" spans="8:11" ht="14.45" customHeight="1" x14ac:dyDescent="0.25"/>
    <row r="33" s="3" customFormat="1" ht="14.45" customHeight="1" x14ac:dyDescent="0.25"/>
    <row r="34" s="3" customFormat="1" ht="14.45" customHeight="1" x14ac:dyDescent="0.25"/>
    <row r="35" s="3" customFormat="1" ht="14.45" customHeight="1" x14ac:dyDescent="0.25"/>
    <row r="36" s="3" customFormat="1" ht="14.45" customHeight="1" x14ac:dyDescent="0.25"/>
    <row r="37" s="3" customFormat="1" ht="14.45" customHeight="1" x14ac:dyDescent="0.25"/>
    <row r="38" s="3" customFormat="1" ht="14.45" customHeight="1" x14ac:dyDescent="0.25"/>
    <row r="39" s="3" customFormat="1" ht="14.45" customHeight="1" x14ac:dyDescent="0.25"/>
    <row r="40" s="3" customFormat="1" ht="14.45" customHeight="1" x14ac:dyDescent="0.25"/>
    <row r="41" s="3" customFormat="1" ht="14.45" customHeight="1" x14ac:dyDescent="0.25"/>
    <row r="42" s="3" customFormat="1" ht="14.45" customHeight="1" x14ac:dyDescent="0.25"/>
    <row r="43" s="3" customFormat="1" ht="14.45" customHeight="1" x14ac:dyDescent="0.25"/>
    <row r="44" s="3" customFormat="1" ht="14.45" customHeight="1" x14ac:dyDescent="0.25"/>
    <row r="45" s="3" customFormat="1" ht="14.45" customHeight="1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workbookViewId="0">
      <selection activeCell="H21" sqref="H21"/>
    </sheetView>
  </sheetViews>
  <sheetFormatPr baseColWidth="10" defaultRowHeight="15" x14ac:dyDescent="0.25"/>
  <cols>
    <col min="1" max="1" width="23.7109375" customWidth="1"/>
    <col min="2" max="2" width="35.85546875" customWidth="1"/>
    <col min="4" max="4" width="7.85546875" customWidth="1"/>
    <col min="5" max="5" width="14.42578125" customWidth="1"/>
    <col min="8" max="8" width="18" customWidth="1"/>
    <col min="10" max="10" width="15.5703125" customWidth="1"/>
  </cols>
  <sheetData>
    <row r="2" spans="1:77" ht="15.75" thickBot="1" x14ac:dyDescent="0.3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39" customHeight="1" x14ac:dyDescent="0.25">
      <c r="B3" s="41" t="str">
        <f>"Vous avez selectionné "&amp; ROUND(I5,0) &amp;" équipements sur 36 proposés."</f>
        <v>Vous avez selectionné 2 équipements sur 36 proposés.</v>
      </c>
      <c r="H3" s="18" t="s">
        <v>182</v>
      </c>
      <c r="I3" s="19" t="s">
        <v>183</v>
      </c>
      <c r="J3" s="20" t="s">
        <v>184</v>
      </c>
    </row>
    <row r="4" spans="1:77" s="17" customFormat="1" ht="47.25" customHeight="1" x14ac:dyDescent="0.25">
      <c r="B4" s="42" t="str">
        <f>"Len moyenne, une nuit dans un Airbnb dans le  "&amp;I8&amp;" arrondissement vaut : "</f>
        <v xml:space="preserve">Len moyenne, une nuit dans un Airbnb dans le  3eme arrondissement vaut : </v>
      </c>
      <c r="E4" s="17" t="s">
        <v>180</v>
      </c>
      <c r="H4" s="21" t="s">
        <v>54</v>
      </c>
      <c r="I4" s="22">
        <v>157.68</v>
      </c>
      <c r="J4" s="23" t="str">
        <f>ROUND(I4,2) &amp; "$"</f>
        <v>157,68$</v>
      </c>
    </row>
    <row r="5" spans="1:77" ht="30.75" thickBot="1" x14ac:dyDescent="0.3">
      <c r="B5" s="43" t="str">
        <f>IF(I5=0,"équipement",IF(I5=1,"équipement","équipements"))</f>
        <v>équipements</v>
      </c>
      <c r="H5" s="24" t="s">
        <v>137</v>
      </c>
      <c r="I5" s="25">
        <v>2</v>
      </c>
      <c r="J5" s="26"/>
    </row>
    <row r="6" spans="1:77" x14ac:dyDescent="0.25">
      <c r="H6" s="24" t="s">
        <v>133</v>
      </c>
      <c r="I6" s="27">
        <v>135.94</v>
      </c>
      <c r="J6" s="26" t="str">
        <f>I6&amp;" $"</f>
        <v>135,94 $</v>
      </c>
    </row>
    <row r="7" spans="1:77" x14ac:dyDescent="0.25">
      <c r="H7" s="21" t="s">
        <v>134</v>
      </c>
      <c r="I7" s="28">
        <v>182.89</v>
      </c>
      <c r="J7" s="23" t="str">
        <f>I7&amp;" $"</f>
        <v>182,89 $</v>
      </c>
    </row>
    <row r="8" spans="1:77" x14ac:dyDescent="0.25">
      <c r="H8" s="21" t="s">
        <v>135</v>
      </c>
      <c r="I8" s="29" t="s">
        <v>162</v>
      </c>
      <c r="J8" s="30"/>
    </row>
    <row r="9" spans="1:77" ht="15.75" thickBot="1" x14ac:dyDescent="0.3">
      <c r="H9" s="21" t="s">
        <v>181</v>
      </c>
      <c r="I9" s="29">
        <f>E11+E12+E13+E14+E15+E16+E17+E18+E19+E20+E21+E22+E23+E24+E25+E26+E27+E28+E29+E30</f>
        <v>238.51</v>
      </c>
      <c r="J9" s="23" t="str">
        <f>I9&amp;" $"</f>
        <v>238,51 $</v>
      </c>
    </row>
    <row r="10" spans="1:77" x14ac:dyDescent="0.25">
      <c r="A10" s="31" t="s">
        <v>138</v>
      </c>
      <c r="B10" s="32" t="s">
        <v>153</v>
      </c>
      <c r="C10" s="33" t="s">
        <v>185</v>
      </c>
      <c r="D10" s="33" t="s">
        <v>186</v>
      </c>
      <c r="E10" s="34"/>
    </row>
    <row r="11" spans="1:77" x14ac:dyDescent="0.25">
      <c r="A11" s="35" t="s">
        <v>154</v>
      </c>
      <c r="B11" s="36" t="s">
        <v>187</v>
      </c>
      <c r="C11" s="36">
        <v>1</v>
      </c>
      <c r="D11" s="36" t="s">
        <v>136</v>
      </c>
      <c r="E11" s="37">
        <f>IF(I8=D11,B11,0)</f>
        <v>0</v>
      </c>
    </row>
    <row r="12" spans="1:77" x14ac:dyDescent="0.25">
      <c r="A12" s="35" t="s">
        <v>139</v>
      </c>
      <c r="B12" s="36" t="s">
        <v>188</v>
      </c>
      <c r="C12" s="36">
        <v>2</v>
      </c>
      <c r="D12" s="36" t="s">
        <v>172</v>
      </c>
      <c r="E12" s="37">
        <f>IF(I8=D12,B12,0)</f>
        <v>0</v>
      </c>
    </row>
    <row r="13" spans="1:77" x14ac:dyDescent="0.25">
      <c r="A13" s="35" t="s">
        <v>140</v>
      </c>
      <c r="B13" s="36" t="s">
        <v>189</v>
      </c>
      <c r="C13" s="36">
        <v>3</v>
      </c>
      <c r="D13" s="36" t="s">
        <v>178</v>
      </c>
      <c r="E13" s="37">
        <f>IF(I8=D13,B13,0)</f>
        <v>0</v>
      </c>
    </row>
    <row r="14" spans="1:77" x14ac:dyDescent="0.25">
      <c r="A14" s="35" t="s">
        <v>141</v>
      </c>
      <c r="B14" s="36" t="s">
        <v>190</v>
      </c>
      <c r="C14" s="36">
        <v>4</v>
      </c>
      <c r="D14" s="36" t="s">
        <v>177</v>
      </c>
      <c r="E14" s="37">
        <f>IF(I8=D14,B14,0)</f>
        <v>0</v>
      </c>
    </row>
    <row r="15" spans="1:77" x14ac:dyDescent="0.25">
      <c r="A15" s="35" t="s">
        <v>142</v>
      </c>
      <c r="B15" s="36" t="s">
        <v>191</v>
      </c>
      <c r="C15" s="36">
        <v>5</v>
      </c>
      <c r="D15" s="36" t="s">
        <v>171</v>
      </c>
      <c r="E15" s="37">
        <f>IF(I8=D15,B15,0)</f>
        <v>0</v>
      </c>
    </row>
    <row r="16" spans="1:77" x14ac:dyDescent="0.25">
      <c r="A16" s="35" t="s">
        <v>143</v>
      </c>
      <c r="B16" s="36" t="s">
        <v>192</v>
      </c>
      <c r="C16" s="36">
        <v>6</v>
      </c>
      <c r="D16" s="36" t="s">
        <v>173</v>
      </c>
      <c r="E16" s="37">
        <f>IF(I8=D16,B16,0)</f>
        <v>0</v>
      </c>
    </row>
    <row r="17" spans="1:5" x14ac:dyDescent="0.25">
      <c r="A17" s="35" t="s">
        <v>144</v>
      </c>
      <c r="B17" s="36" t="s">
        <v>193</v>
      </c>
      <c r="C17" s="36">
        <v>7</v>
      </c>
      <c r="D17" s="36" t="s">
        <v>170</v>
      </c>
      <c r="E17" s="37">
        <f>IF(I8=D17,B17,0)</f>
        <v>0</v>
      </c>
    </row>
    <row r="18" spans="1:5" x14ac:dyDescent="0.25">
      <c r="A18" s="35" t="s">
        <v>155</v>
      </c>
      <c r="B18" s="36" t="s">
        <v>194</v>
      </c>
      <c r="C18" s="36">
        <v>8</v>
      </c>
      <c r="D18" s="36" t="s">
        <v>169</v>
      </c>
      <c r="E18" s="37">
        <f>IF(I8=D18,B18,0)</f>
        <v>0</v>
      </c>
    </row>
    <row r="19" spans="1:5" x14ac:dyDescent="0.25">
      <c r="A19" s="35" t="s">
        <v>145</v>
      </c>
      <c r="B19" s="36" t="s">
        <v>195</v>
      </c>
      <c r="C19" s="36">
        <v>9</v>
      </c>
      <c r="D19" s="36" t="s">
        <v>176</v>
      </c>
      <c r="E19" s="37">
        <f>IF(I8=D19,B19,0)</f>
        <v>0</v>
      </c>
    </row>
    <row r="20" spans="1:5" x14ac:dyDescent="0.25">
      <c r="A20" s="35" t="s">
        <v>146</v>
      </c>
      <c r="B20" s="36" t="s">
        <v>196</v>
      </c>
      <c r="C20" s="36">
        <v>10</v>
      </c>
      <c r="D20" s="36" t="s">
        <v>174</v>
      </c>
      <c r="E20" s="37">
        <f>IF(I8=D20,B20,0)</f>
        <v>0</v>
      </c>
    </row>
    <row r="21" spans="1:5" x14ac:dyDescent="0.25">
      <c r="A21" s="35" t="s">
        <v>156</v>
      </c>
      <c r="B21" s="36" t="s">
        <v>197</v>
      </c>
      <c r="C21" s="36">
        <v>11</v>
      </c>
      <c r="D21" s="36" t="s">
        <v>164</v>
      </c>
      <c r="E21" s="37">
        <f>IF(I8=D21,B21,0)</f>
        <v>0</v>
      </c>
    </row>
    <row r="22" spans="1:5" x14ac:dyDescent="0.25">
      <c r="A22" s="35" t="s">
        <v>157</v>
      </c>
      <c r="B22" s="36" t="s">
        <v>198</v>
      </c>
      <c r="C22" s="36">
        <v>12</v>
      </c>
      <c r="D22" s="36" t="s">
        <v>168</v>
      </c>
      <c r="E22" s="37">
        <f>IF(I8=D22,B22,0)</f>
        <v>0</v>
      </c>
    </row>
    <row r="23" spans="1:5" x14ac:dyDescent="0.25">
      <c r="A23" s="35" t="s">
        <v>147</v>
      </c>
      <c r="B23" s="36" t="s">
        <v>199</v>
      </c>
      <c r="C23" s="36">
        <v>13</v>
      </c>
      <c r="D23" s="36" t="s">
        <v>162</v>
      </c>
      <c r="E23" s="37" t="str">
        <f>IF(I8=D23,B23,0)</f>
        <v>238,51</v>
      </c>
    </row>
    <row r="24" spans="1:5" x14ac:dyDescent="0.25">
      <c r="A24" s="35" t="s">
        <v>158</v>
      </c>
      <c r="B24" s="36" t="s">
        <v>200</v>
      </c>
      <c r="C24" s="36">
        <v>14</v>
      </c>
      <c r="D24" s="36" t="s">
        <v>163</v>
      </c>
      <c r="E24" s="37">
        <f>IF(I8=D24,B24,0)</f>
        <v>0</v>
      </c>
    </row>
    <row r="25" spans="1:5" x14ac:dyDescent="0.25">
      <c r="A25" s="35" t="s">
        <v>148</v>
      </c>
      <c r="B25" s="36" t="s">
        <v>201</v>
      </c>
      <c r="C25" s="36">
        <v>15</v>
      </c>
      <c r="D25" s="36" t="s">
        <v>161</v>
      </c>
      <c r="E25" s="37">
        <f>IF(I8=D25,B25,0)</f>
        <v>0</v>
      </c>
    </row>
    <row r="26" spans="1:5" x14ac:dyDescent="0.25">
      <c r="A26" s="35" t="s">
        <v>149</v>
      </c>
      <c r="B26" s="36" t="s">
        <v>202</v>
      </c>
      <c r="C26" s="36">
        <v>16</v>
      </c>
      <c r="D26" s="36" t="s">
        <v>165</v>
      </c>
      <c r="E26" s="37">
        <f>IF(I8=D26,B26,0)</f>
        <v>0</v>
      </c>
    </row>
    <row r="27" spans="1:5" x14ac:dyDescent="0.25">
      <c r="A27" s="35" t="s">
        <v>150</v>
      </c>
      <c r="B27" s="36" t="s">
        <v>203</v>
      </c>
      <c r="C27" s="36">
        <v>17</v>
      </c>
      <c r="D27" s="36" t="s">
        <v>175</v>
      </c>
      <c r="E27" s="37">
        <f>IF(I8=D27,B27,0)</f>
        <v>0</v>
      </c>
    </row>
    <row r="28" spans="1:5" x14ac:dyDescent="0.25">
      <c r="A28" s="35" t="s">
        <v>151</v>
      </c>
      <c r="B28" s="36" t="s">
        <v>204</v>
      </c>
      <c r="C28" s="36">
        <v>18</v>
      </c>
      <c r="D28" s="36" t="s">
        <v>40</v>
      </c>
      <c r="E28" s="37">
        <f>IF(I8=D28,B28,0)</f>
        <v>0</v>
      </c>
    </row>
    <row r="29" spans="1:5" x14ac:dyDescent="0.25">
      <c r="A29" s="35" t="s">
        <v>152</v>
      </c>
      <c r="B29" s="36" t="s">
        <v>205</v>
      </c>
      <c r="C29" s="36">
        <v>19</v>
      </c>
      <c r="D29" s="36" t="s">
        <v>166</v>
      </c>
      <c r="E29" s="37">
        <f>IF(I8=D29,B29,0)</f>
        <v>0</v>
      </c>
    </row>
    <row r="30" spans="1:5" ht="15.75" thickBot="1" x14ac:dyDescent="0.3">
      <c r="A30" s="38" t="s">
        <v>159</v>
      </c>
      <c r="B30" s="39" t="s">
        <v>206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Data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2023-12-14T08:12:31Z</dcterms:modified>
</cp:coreProperties>
</file>